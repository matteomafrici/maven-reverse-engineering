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olimi365-my.sharepoint.com/personal/10842546_polimi_it/Documents/"/>
    </mc:Choice>
  </mc:AlternateContent>
  <xr:revisionPtr revIDLastSave="1230" documentId="8_{98236AD7-AC03-41FE-9C83-09EBDF9383B4}" xr6:coauthVersionLast="47" xr6:coauthVersionMax="47" xr10:uidLastSave="{00BF84A2-C91E-4A83-827D-04D0FE3D3E4E}"/>
  <bookViews>
    <workbookView xWindow="-110" yWindow="-110" windowWidth="25820" windowHeight="13900" xr2:uid="{9A53BB07-7FD8-48EB-877B-8EA3DE192A0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1" i="1" l="1"/>
  <c r="H61" i="1" s="1"/>
  <c r="F56" i="1"/>
  <c r="H56" i="1" s="1"/>
  <c r="F50" i="1"/>
  <c r="F5" i="1"/>
  <c r="F16" i="1"/>
  <c r="H16" i="1" s="1"/>
  <c r="F11" i="1"/>
  <c r="H11" i="1" s="1"/>
</calcChain>
</file>

<file path=xl/sharedStrings.xml><?xml version="1.0" encoding="utf-8"?>
<sst xmlns="http://schemas.openxmlformats.org/spreadsheetml/2006/main" count="139" uniqueCount="79">
  <si>
    <t>ΔV Budget Breakdown Table</t>
  </si>
  <si>
    <t>?</t>
  </si>
  <si>
    <t>Main orbit Maneuvers</t>
  </si>
  <si>
    <t>Burn ID</t>
  </si>
  <si>
    <t xml:space="preserve">   RE: Estimated ΔV [m/s]</t>
  </si>
  <si>
    <t>RE: Total maneuver cost [m/s]</t>
  </si>
  <si>
    <t>Margin Type</t>
  </si>
  <si>
    <t xml:space="preserve">RE: Allocated deltaV </t>
  </si>
  <si>
    <t>Rationale</t>
  </si>
  <si>
    <t>MAVEN: Nominal Maneuver cost [m/s]</t>
  </si>
  <si>
    <t>MAVEN: Real Maneuver cost [m/s]</t>
  </si>
  <si>
    <t>RE Methods / Models used</t>
  </si>
  <si>
    <t xml:space="preserve">RE &amp; MAVEN Nominal Data for the Maneuver (e.g. epoch) </t>
  </si>
  <si>
    <t>Notes</t>
  </si>
  <si>
    <t>Links</t>
  </si>
  <si>
    <t>Cruise Phase</t>
  </si>
  <si>
    <t>TCM-1</t>
  </si>
  <si>
    <t>10 m/s</t>
  </si>
  <si>
    <t>Adjustments of the initial trajectory</t>
  </si>
  <si>
    <t>B-Plane targeting through bias removal (MC: 2000 samples)</t>
  </si>
  <si>
    <t>TCM-2</t>
  </si>
  <si>
    <t>TCM-3</t>
  </si>
  <si>
    <t>Designed but not needed during the mission</t>
  </si>
  <si>
    <t>TCM-4</t>
  </si>
  <si>
    <t>TCM-5</t>
  </si>
  <si>
    <t>~</t>
  </si>
  <si>
    <t>TCM-5 excluded from nominal ΔV: stochastic contingency, budgeted at 10 m/s</t>
  </si>
  <si>
    <t>Non-Nominal Design</t>
  </si>
  <si>
    <t xml:space="preserve">Mars orbit insertion </t>
  </si>
  <si>
    <t>MOI</t>
  </si>
  <si>
    <t xml:space="preserve">10 m/s </t>
  </si>
  <si>
    <t>MOI Restart Capability and non-nominal design</t>
  </si>
  <si>
    <t>single impulse @ nominal periapsis altitude of 380km w/ Lambert V_inf_hyp_incoming = 3,183192 km/s</t>
  </si>
  <si>
    <t xml:space="preserve">periapsis of  380±50 km </t>
  </si>
  <si>
    <t>Transition to science orbit</t>
  </si>
  <si>
    <t>PRM-1</t>
  </si>
  <si>
    <t>lowering periapsis altitude from 380±50km to 200km</t>
  </si>
  <si>
    <t>retrograde single impulse @ current apoapsis altitude</t>
  </si>
  <si>
    <t>lowering perapsis from 380 km to 200 km</t>
  </si>
  <si>
    <t>MENU of default trim maneuvres (mavenNav2016jsr)</t>
  </si>
  <si>
    <t>PRM-2</t>
  </si>
  <si>
    <t>pitchover maneuvre</t>
  </si>
  <si>
    <t>PLM-1</t>
  </si>
  <si>
    <t>PLM-2</t>
  </si>
  <si>
    <t>not periapsis driven (density corridor driven)</t>
  </si>
  <si>
    <t>DENSITY MODEL: https://www.grc.nasa.gov/www/k-12/airplane/atmosmrm.html</t>
  </si>
  <si>
    <t>PLM-3</t>
  </si>
  <si>
    <t>Deep-Dip campaign</t>
  </si>
  <si>
    <t>DDM-1</t>
  </si>
  <si>
    <t xml:space="preserve">[7] 100% </t>
  </si>
  <si>
    <t>extreme drag variability &amp; chosen density corridors</t>
  </si>
  <si>
    <t>DDM-2</t>
  </si>
  <si>
    <t>DDM-3</t>
  </si>
  <si>
    <t>DDM-4</t>
  </si>
  <si>
    <t>DDM-5</t>
  </si>
  <si>
    <t xml:space="preserve">DDM-6 </t>
  </si>
  <si>
    <t>-</t>
  </si>
  <si>
    <t>Orbit Trim Maneuvers</t>
  </si>
  <si>
    <t>OTMs</t>
  </si>
  <si>
    <t>During and post Deep Dip maneuvers</t>
  </si>
  <si>
    <t>[2] The fifth designed deep-dip was already part of the initial overall mission design, although it belonged to the "estended phase" of the mission, which revelead to be such a success that not only was this maneuver performed, but an additional, unplanned yet succesful DDM-6 was added to observe an additional region of the planet</t>
  </si>
  <si>
    <t>[1] It is important to notice that each deep-dip occurred at different times, loactions and Martian seasons [reference], although all of them consisted in lowering the spacecraft to ~125 km,</t>
  </si>
  <si>
    <t>[3] The last column has been filled with values extracted from the following literature: [references]</t>
  </si>
  <si>
    <t>[4] At least 2 more TCM maneuvers have been statistically designed to adjust the orbit and avoid collisions, which later ended up being unnecessary</t>
  </si>
  <si>
    <t xml:space="preserve">[5] </t>
  </si>
  <si>
    <t>possono comunque essere utilizzati come valori di riferimento da confrontare con quelli ottenuti, dal momento che si tratta di valori relativi alla fase di design, comprensivi di margine e manovre aggiuntive</t>
  </si>
  <si>
    <t>RE: Reverse Engineering</t>
  </si>
  <si>
    <t>LPM: Lowering Periapsis Maneuvre</t>
  </si>
  <si>
    <t>RPM: Raising Periapsis Maneuvre</t>
  </si>
  <si>
    <t>PRM: Period Reduction Maneuvre (phasing)</t>
  </si>
  <si>
    <t>[6][MAVENNAV2016SFM] The orbit is unique for the primary phase of a Mars spacecraft, so experience from prior missions does not present a complete picture of the atmospheric conditions Maven experiences. This, coupled with the objective of maintaining a density corridor (as opposed to ephemeris targets), presents some unique challenges for navigation. The first challenge is that Maven’s orbit at Mars must be maintained to collect science data while repeatedly passing through Mars’ atmosphere. Maven’s nominal orbital phase at Mars is similar in some respects to previous missions, but this similarity holds only when considering the aerobraking phases of the prior missions. In fact, Maven’s nominal science orbit can be considered “light aerobraking”, and, unlike previous missions, Maven must meet stringent navigation requirements during this phase to satisfy its scientific objectives.</t>
  </si>
  <si>
    <t>[7] [maven2016SFM] Maven’s orbit presents a challenge for accurately estimating the atmospheric density at periapsis, with an assumed 100% orbit to orbit variation. Finally, the compressed timeline for Maven’s deep dips requires accelerated analyses by the navigation analysts.</t>
  </si>
  <si>
    <t xml:space="preserve">[8][slide della lavagna] allocazione dei margini </t>
  </si>
  <si>
    <t>[9][maven2016jsr] OTMs were performed during the deep-dip campaigns, to countercat the changes resulting from Mars's atmosphere and gravitational field</t>
  </si>
  <si>
    <t>Transfer to science orbit</t>
  </si>
  <si>
    <t xml:space="preserve">RE: Allocated ΔV [m/s] </t>
  </si>
  <si>
    <t>pitchover maneuver</t>
  </si>
  <si>
    <t>2BP perturbed and monthly SK correction maneuvers</t>
  </si>
  <si>
    <t>two single impulses @ nominal apoapsis altitude of 6200km for PLM &amp; RPM (energy balance unperturbed)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</si>
</sst>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Aptos Narrow"/>
      <family val="2"/>
      <scheme val="minor"/>
    </font>
    <font>
      <b/>
      <sz val="14"/>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E0F7C1"/>
        <bgColor indexed="64"/>
      </patternFill>
    </fill>
    <fill>
      <patternFill patternType="solid">
        <fgColor theme="3" tint="0.89999084444715716"/>
        <bgColor indexed="64"/>
      </patternFill>
    </fill>
    <fill>
      <patternFill patternType="solid">
        <fgColor rgb="FFC0E399"/>
        <bgColor indexed="64"/>
      </patternFill>
    </fill>
  </fills>
  <borders count="61">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bottom style="medium">
        <color theme="1"/>
      </bottom>
      <diagonal/>
    </border>
    <border>
      <left style="medium">
        <color theme="1"/>
      </left>
      <right style="medium">
        <color theme="1"/>
      </right>
      <top style="medium">
        <color theme="1"/>
      </top>
      <bottom style="medium">
        <color theme="1"/>
      </bottom>
      <diagonal/>
    </border>
    <border>
      <left style="thin">
        <color theme="1"/>
      </left>
      <right style="thin">
        <color theme="1"/>
      </right>
      <top style="medium">
        <color theme="1"/>
      </top>
      <bottom style="thin">
        <color theme="1"/>
      </bottom>
      <diagonal/>
    </border>
    <border>
      <left style="thin">
        <color theme="1"/>
      </left>
      <right style="thin">
        <color theme="1"/>
      </right>
      <top style="medium">
        <color theme="1"/>
      </top>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right style="thin">
        <color theme="1"/>
      </right>
      <top style="medium">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style="medium">
        <color theme="1"/>
      </bottom>
      <diagonal/>
    </border>
    <border>
      <left/>
      <right style="thin">
        <color theme="1"/>
      </right>
      <top style="medium">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rgb="FF505050"/>
      </left>
      <right/>
      <top style="medium">
        <color rgb="FF505050"/>
      </top>
      <bottom style="medium">
        <color rgb="FF505050"/>
      </bottom>
      <diagonal/>
    </border>
    <border>
      <left/>
      <right/>
      <top style="medium">
        <color rgb="FF505050"/>
      </top>
      <bottom style="medium">
        <color rgb="FF505050"/>
      </bottom>
      <diagonal/>
    </border>
    <border>
      <left style="thin">
        <color theme="1"/>
      </left>
      <right/>
      <top style="thin">
        <color theme="1"/>
      </top>
      <bottom style="thin">
        <color theme="1"/>
      </bottom>
      <diagonal/>
    </border>
    <border>
      <left/>
      <right style="medium">
        <color rgb="FF505050"/>
      </right>
      <top style="medium">
        <color rgb="FF505050"/>
      </top>
      <bottom/>
      <diagonal/>
    </border>
    <border>
      <left/>
      <right/>
      <top style="medium">
        <color rgb="FF505050"/>
      </top>
      <bottom/>
      <diagonal/>
    </border>
    <border>
      <left style="thin">
        <color theme="1"/>
      </left>
      <right style="medium">
        <color indexed="64"/>
      </right>
      <top style="thin">
        <color theme="1"/>
      </top>
      <bottom style="thin">
        <color theme="1"/>
      </bottom>
      <diagonal/>
    </border>
    <border>
      <left style="thin">
        <color theme="1"/>
      </left>
      <right style="medium">
        <color indexed="64"/>
      </right>
      <top style="thin">
        <color theme="1"/>
      </top>
      <bottom/>
      <diagonal/>
    </border>
    <border>
      <left style="thin">
        <color theme="1"/>
      </left>
      <right style="medium">
        <color indexed="64"/>
      </right>
      <top/>
      <bottom/>
      <diagonal/>
    </border>
    <border>
      <left style="thin">
        <color indexed="64"/>
      </left>
      <right style="thin">
        <color indexed="64"/>
      </right>
      <top style="thin">
        <color indexed="64"/>
      </top>
      <bottom style="thin">
        <color indexed="64"/>
      </bottom>
      <diagonal/>
    </border>
    <border>
      <left style="thin">
        <color theme="1"/>
      </left>
      <right/>
      <top style="medium">
        <color theme="1"/>
      </top>
      <bottom/>
      <diagonal/>
    </border>
    <border>
      <left style="thin">
        <color theme="1"/>
      </left>
      <right/>
      <top/>
      <bottom/>
      <diagonal/>
    </border>
    <border>
      <left style="thin">
        <color theme="1"/>
      </left>
      <right/>
      <top/>
      <bottom style="thin">
        <color theme="1"/>
      </bottom>
      <diagonal/>
    </border>
    <border>
      <left/>
      <right/>
      <top style="thin">
        <color theme="1"/>
      </top>
      <bottom style="thin">
        <color theme="1"/>
      </bottom>
      <diagonal/>
    </border>
    <border>
      <left style="medium">
        <color theme="1"/>
      </left>
      <right style="thin">
        <color theme="1"/>
      </right>
      <top style="medium">
        <color theme="1"/>
      </top>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medium">
        <color indexed="64"/>
      </right>
      <top style="medium">
        <color indexed="64"/>
      </top>
      <bottom/>
      <diagonal/>
    </border>
    <border>
      <left style="medium">
        <color indexed="64"/>
      </left>
      <right style="medium">
        <color theme="1"/>
      </right>
      <top style="medium">
        <color indexed="64"/>
      </top>
      <bottom style="thin">
        <color theme="1"/>
      </bottom>
      <diagonal/>
    </border>
    <border>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medium">
        <color theme="1"/>
      </right>
      <top style="thin">
        <color theme="1"/>
      </top>
      <bottom style="thin">
        <color theme="1"/>
      </bottom>
      <diagonal/>
    </border>
    <border>
      <left style="medium">
        <color indexed="64"/>
      </left>
      <right style="medium">
        <color theme="1"/>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top style="thin">
        <color theme="1"/>
      </top>
      <bottom style="medium">
        <color indexed="64"/>
      </bottom>
      <diagonal/>
    </border>
    <border>
      <left style="thin">
        <color indexed="64"/>
      </left>
      <right style="thin">
        <color indexed="64"/>
      </right>
      <top style="thin">
        <color indexed="64"/>
      </top>
      <bottom style="medium">
        <color indexed="64"/>
      </bottom>
      <diagonal/>
    </border>
    <border>
      <left/>
      <right/>
      <top style="thin">
        <color theme="1"/>
      </top>
      <bottom style="medium">
        <color indexed="64"/>
      </bottom>
      <diagonal/>
    </border>
    <border>
      <left style="thin">
        <color theme="1"/>
      </left>
      <right style="medium">
        <color indexed="64"/>
      </right>
      <top/>
      <bottom style="medium">
        <color indexed="64"/>
      </bottom>
      <diagonal/>
    </border>
    <border>
      <left style="medium">
        <color indexed="64"/>
      </left>
      <right style="medium">
        <color theme="1"/>
      </right>
      <top style="medium">
        <color indexed="64"/>
      </top>
      <bottom style="medium">
        <color indexed="64"/>
      </bottom>
      <diagonal/>
    </border>
    <border>
      <left/>
      <right style="thin">
        <color theme="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theme="1"/>
      </left>
      <right style="medium">
        <color indexed="64"/>
      </right>
      <top style="medium">
        <color indexed="64"/>
      </top>
      <bottom style="medium">
        <color indexed="64"/>
      </bottom>
      <diagonal/>
    </border>
    <border>
      <left style="thin">
        <color theme="1"/>
      </left>
      <right/>
      <top style="medium">
        <color indexed="64"/>
      </top>
      <bottom style="thin">
        <color theme="1"/>
      </bottom>
      <diagonal/>
    </border>
    <border>
      <left style="thin">
        <color theme="1"/>
      </left>
      <right style="medium">
        <color indexed="64"/>
      </right>
      <top style="thin">
        <color theme="1"/>
      </top>
      <bottom style="medium">
        <color indexed="64"/>
      </bottom>
      <diagonal/>
    </border>
    <border>
      <left style="thin">
        <color theme="1"/>
      </left>
      <right/>
      <top/>
      <bottom style="medium">
        <color indexed="64"/>
      </bottom>
      <diagonal/>
    </border>
  </borders>
  <cellStyleXfs count="1">
    <xf numFmtId="0" fontId="0" fillId="0" borderId="0"/>
  </cellStyleXfs>
  <cellXfs count="16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xf>
    <xf numFmtId="0" fontId="0" fillId="3" borderId="0" xfId="0" applyFill="1" applyAlignment="1">
      <alignment horizontal="center"/>
    </xf>
    <xf numFmtId="0" fontId="0" fillId="5" borderId="0" xfId="0" applyFill="1" applyAlignment="1">
      <alignment horizontal="center"/>
    </xf>
    <xf numFmtId="0" fontId="2" fillId="6" borderId="0" xfId="0" applyFont="1" applyFill="1" applyAlignment="1">
      <alignment horizontal="center"/>
    </xf>
    <xf numFmtId="0" fontId="0" fillId="0" borderId="0" xfId="0" applyAlignment="1">
      <alignment horizontal="center" vertical="center" wrapText="1"/>
    </xf>
    <xf numFmtId="0" fontId="0" fillId="5" borderId="0" xfId="0" applyFill="1" applyAlignment="1">
      <alignment horizontal="center" vertical="center"/>
    </xf>
    <xf numFmtId="0" fontId="0" fillId="3" borderId="0" xfId="0" applyFill="1" applyAlignment="1">
      <alignment horizontal="center" vertical="center"/>
    </xf>
    <xf numFmtId="0" fontId="0" fillId="0" borderId="0" xfId="0" applyAlignment="1">
      <alignment horizontal="left" vertical="center"/>
    </xf>
    <xf numFmtId="0" fontId="4" fillId="7" borderId="1" xfId="0" applyFont="1" applyFill="1" applyBorder="1" applyAlignment="1">
      <alignment horizontal="center" vertical="center"/>
    </xf>
    <xf numFmtId="0" fontId="0" fillId="9" borderId="1" xfId="0" applyFill="1" applyBorder="1" applyAlignment="1">
      <alignment horizontal="center" vertical="center"/>
    </xf>
    <xf numFmtId="0" fontId="0" fillId="7" borderId="1" xfId="0" applyFill="1" applyBorder="1" applyAlignment="1">
      <alignment horizontal="center" vertical="center"/>
    </xf>
    <xf numFmtId="0" fontId="0" fillId="12" borderId="1" xfId="0" applyFill="1" applyBorder="1" applyAlignment="1">
      <alignment horizontal="center" vertical="center"/>
    </xf>
    <xf numFmtId="0" fontId="4" fillId="5" borderId="5" xfId="0" applyFont="1" applyFill="1" applyBorder="1" applyAlignment="1">
      <alignment horizontal="center" vertical="center" wrapText="1"/>
    </xf>
    <xf numFmtId="165" fontId="0" fillId="12" borderId="8" xfId="0" applyNumberFormat="1" applyFill="1" applyBorder="1" applyAlignment="1">
      <alignment horizontal="center" vertical="center"/>
    </xf>
    <xf numFmtId="0" fontId="0" fillId="0" borderId="11" xfId="0" applyBorder="1" applyAlignment="1">
      <alignment horizontal="center" vertical="center"/>
    </xf>
    <xf numFmtId="0" fontId="0" fillId="7" borderId="11" xfId="0" applyFill="1" applyBorder="1" applyAlignment="1">
      <alignment horizontal="center" vertical="center"/>
    </xf>
    <xf numFmtId="0" fontId="0" fillId="4" borderId="11" xfId="0" applyFill="1" applyBorder="1" applyAlignment="1">
      <alignment horizontal="center" vertical="center"/>
    </xf>
    <xf numFmtId="164" fontId="0" fillId="10" borderId="11" xfId="0" applyNumberFormat="1" applyFill="1" applyBorder="1" applyAlignment="1">
      <alignment horizontal="center" vertical="center"/>
    </xf>
    <xf numFmtId="0" fontId="0" fillId="9" borderId="11" xfId="0" applyFill="1" applyBorder="1" applyAlignment="1">
      <alignment horizontal="center" vertical="center"/>
    </xf>
    <xf numFmtId="0" fontId="0" fillId="12" borderId="11" xfId="0" applyFill="1" applyBorder="1" applyAlignment="1">
      <alignment horizontal="center" vertical="center"/>
    </xf>
    <xf numFmtId="0" fontId="0" fillId="5" borderId="11" xfId="0" applyFill="1" applyBorder="1" applyAlignment="1">
      <alignment horizontal="center" vertical="center" wrapText="1"/>
    </xf>
    <xf numFmtId="0" fontId="0" fillId="9" borderId="8" xfId="0" applyFill="1" applyBorder="1" applyAlignment="1">
      <alignment horizontal="center" vertical="center"/>
    </xf>
    <xf numFmtId="0" fontId="0" fillId="12" borderId="8" xfId="0" applyFill="1" applyBorder="1" applyAlignment="1">
      <alignment horizontal="center" vertical="center"/>
    </xf>
    <xf numFmtId="0" fontId="0" fillId="5" borderId="8" xfId="0" applyFill="1" applyBorder="1" applyAlignment="1">
      <alignment horizontal="center" vertical="center" wrapText="1"/>
    </xf>
    <xf numFmtId="0" fontId="0" fillId="0" borderId="5" xfId="0" applyBorder="1" applyAlignment="1">
      <alignment horizontal="center" vertical="center"/>
    </xf>
    <xf numFmtId="0" fontId="0" fillId="10" borderId="5" xfId="0" applyFill="1" applyBorder="1" applyAlignment="1">
      <alignment horizontal="center" vertical="center"/>
    </xf>
    <xf numFmtId="0" fontId="0" fillId="9" borderId="5" xfId="0" applyFill="1" applyBorder="1" applyAlignment="1">
      <alignment horizontal="center" vertical="center"/>
    </xf>
    <xf numFmtId="0" fontId="0" fillId="12" borderId="5" xfId="0" applyFill="1" applyBorder="1" applyAlignment="1">
      <alignment horizontal="center" vertical="center"/>
    </xf>
    <xf numFmtId="0" fontId="0" fillId="4" borderId="5" xfId="0" applyFill="1" applyBorder="1" applyAlignment="1">
      <alignment horizontal="center"/>
    </xf>
    <xf numFmtId="9" fontId="0" fillId="4" borderId="11" xfId="0" applyNumberFormat="1" applyFill="1" applyBorder="1" applyAlignment="1">
      <alignment horizontal="center" vertical="center"/>
    </xf>
    <xf numFmtId="0" fontId="0" fillId="10" borderId="11" xfId="0" applyFill="1" applyBorder="1" applyAlignment="1">
      <alignment horizontal="center" vertical="center"/>
    </xf>
    <xf numFmtId="0" fontId="0" fillId="0" borderId="15" xfId="0" applyBorder="1" applyAlignment="1">
      <alignment horizontal="center" vertical="center"/>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center"/>
    </xf>
    <xf numFmtId="0" fontId="1" fillId="8"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4" fillId="7" borderId="13" xfId="0" applyFont="1" applyFill="1" applyBorder="1" applyAlignment="1">
      <alignment horizontal="center" vertical="center"/>
    </xf>
    <xf numFmtId="0" fontId="4" fillId="7" borderId="14" xfId="0" applyFont="1" applyFill="1" applyBorder="1" applyAlignment="1">
      <alignment horizontal="center" vertical="center"/>
    </xf>
    <xf numFmtId="0" fontId="0" fillId="0" borderId="14" xfId="0" applyBorder="1" applyAlignment="1">
      <alignment horizontal="center" vertical="center"/>
    </xf>
    <xf numFmtId="0" fontId="4" fillId="7" borderId="8" xfId="0" applyFont="1" applyFill="1" applyBorder="1" applyAlignment="1">
      <alignment horizontal="center" vertical="center"/>
    </xf>
    <xf numFmtId="0" fontId="4" fillId="7" borderId="5" xfId="0" applyFont="1" applyFill="1" applyBorder="1" applyAlignment="1">
      <alignment horizontal="center" vertical="center"/>
    </xf>
    <xf numFmtId="0" fontId="0" fillId="7" borderId="8" xfId="0" applyFill="1" applyBorder="1" applyAlignment="1">
      <alignment horizontal="center" vertical="center"/>
    </xf>
    <xf numFmtId="0" fontId="0" fillId="7" borderId="5" xfId="0" applyFill="1" applyBorder="1" applyAlignment="1">
      <alignment horizontal="center" vertical="center"/>
    </xf>
    <xf numFmtId="0" fontId="0" fillId="9" borderId="8" xfId="0" applyFill="1" applyBorder="1" applyAlignment="1">
      <alignment horizontal="center" vertical="center"/>
    </xf>
    <xf numFmtId="0" fontId="0" fillId="9" borderId="1" xfId="0" applyFill="1" applyBorder="1" applyAlignment="1">
      <alignment horizontal="center" vertical="center"/>
    </xf>
    <xf numFmtId="0" fontId="0" fillId="9" borderId="5" xfId="0" applyFill="1" applyBorder="1" applyAlignment="1">
      <alignment horizontal="center" vertical="center"/>
    </xf>
    <xf numFmtId="3" fontId="0" fillId="5" borderId="9" xfId="0" applyNumberFormat="1" applyFill="1" applyBorder="1" applyAlignment="1">
      <alignment horizontal="center" vertical="center" wrapText="1"/>
    </xf>
    <xf numFmtId="3" fontId="0" fillId="5" borderId="3" xfId="0" applyNumberFormat="1" applyFill="1" applyBorder="1" applyAlignment="1">
      <alignment horizontal="center" vertical="center" wrapText="1"/>
    </xf>
    <xf numFmtId="3" fontId="0" fillId="5" borderId="4" xfId="0" applyNumberFormat="1" applyFill="1" applyBorder="1" applyAlignment="1">
      <alignment horizontal="center" vertical="center" wrapText="1"/>
    </xf>
    <xf numFmtId="0" fontId="4" fillId="12" borderId="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5" fillId="0" borderId="10" xfId="0" applyFont="1" applyBorder="1" applyAlignment="1">
      <alignment horizontal="center" vertical="center"/>
    </xf>
    <xf numFmtId="0" fontId="1" fillId="0" borderId="11" xfId="0"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0" fillId="0" borderId="5" xfId="0" applyBorder="1" applyAlignment="1">
      <alignment horizont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10" borderId="8" xfId="0" applyFill="1" applyBorder="1" applyAlignment="1">
      <alignment horizontal="center" vertical="center"/>
    </xf>
    <xf numFmtId="0" fontId="0" fillId="10" borderId="1" xfId="0" applyFill="1" applyBorder="1" applyAlignment="1">
      <alignment horizontal="center" vertical="center"/>
    </xf>
    <xf numFmtId="0" fontId="0" fillId="10" borderId="5" xfId="0" applyFill="1" applyBorder="1" applyAlignment="1">
      <alignment horizontal="center" vertical="center"/>
    </xf>
    <xf numFmtId="0" fontId="0" fillId="4" borderId="8" xfId="0" applyFill="1" applyBorder="1" applyAlignment="1">
      <alignment horizontal="center" vertical="center"/>
    </xf>
    <xf numFmtId="0" fontId="0" fillId="4" borderId="1" xfId="0" applyFill="1" applyBorder="1" applyAlignment="1">
      <alignment horizontal="center" vertical="center"/>
    </xf>
    <xf numFmtId="0" fontId="0" fillId="0" borderId="5" xfId="0" applyBorder="1" applyAlignment="1">
      <alignment horizontal="center" vertical="center"/>
    </xf>
    <xf numFmtId="9" fontId="0" fillId="4" borderId="8" xfId="0" applyNumberFormat="1" applyFill="1" applyBorder="1" applyAlignment="1">
      <alignment horizontal="center" vertical="center"/>
    </xf>
    <xf numFmtId="0" fontId="0" fillId="4" borderId="5" xfId="0" applyFill="1" applyBorder="1" applyAlignment="1">
      <alignment horizontal="center" vertical="center"/>
    </xf>
    <xf numFmtId="0" fontId="0" fillId="5" borderId="9" xfId="0" applyFill="1" applyBorder="1" applyAlignment="1">
      <alignment horizontal="center" vertical="center" wrapText="1"/>
    </xf>
    <xf numFmtId="0" fontId="0" fillId="5" borderId="3" xfId="0" applyFill="1" applyBorder="1" applyAlignment="1">
      <alignment horizontal="center"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9" borderId="9"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2" xfId="0" applyFill="1" applyBorder="1" applyAlignment="1">
      <alignment horizontal="center" vertical="center"/>
    </xf>
    <xf numFmtId="0" fontId="0" fillId="9" borderId="6" xfId="0" applyFill="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1" fillId="8" borderId="15" xfId="0" applyFont="1" applyFill="1" applyBorder="1" applyAlignment="1">
      <alignment horizontal="center" vertical="center" wrapText="1"/>
    </xf>
    <xf numFmtId="0" fontId="0" fillId="9" borderId="12" xfId="0" applyFill="1" applyBorder="1" applyAlignment="1">
      <alignment horizontal="center" vertical="center"/>
    </xf>
    <xf numFmtId="0" fontId="0" fillId="9" borderId="13" xfId="0" applyFill="1" applyBorder="1" applyAlignment="1">
      <alignment horizontal="center"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0" fillId="9" borderId="12" xfId="0" applyFill="1" applyBorder="1" applyAlignment="1">
      <alignment horizontal="center" vertical="center"/>
    </xf>
    <xf numFmtId="0" fontId="0" fillId="9" borderId="13" xfId="0" applyFill="1" applyBorder="1" applyAlignment="1">
      <alignment horizontal="center" vertical="center"/>
    </xf>
    <xf numFmtId="0" fontId="0" fillId="9" borderId="14" xfId="0" applyFill="1" applyBorder="1" applyAlignment="1">
      <alignment horizontal="center" vertical="center"/>
    </xf>
    <xf numFmtId="0" fontId="0" fillId="7" borderId="0" xfId="0" applyFill="1" applyBorder="1" applyAlignment="1">
      <alignment horizontal="center" vertical="center" wrapText="1"/>
    </xf>
    <xf numFmtId="0" fontId="0" fillId="0" borderId="0" xfId="0" applyBorder="1" applyAlignment="1">
      <alignment horizontal="center" vertical="center" wrapText="1"/>
    </xf>
    <xf numFmtId="0" fontId="5" fillId="0" borderId="23" xfId="0" applyFont="1" applyBorder="1" applyAlignment="1">
      <alignment horizontal="center" vertical="center"/>
    </xf>
    <xf numFmtId="0" fontId="0" fillId="12" borderId="24" xfId="0" applyFill="1" applyBorder="1" applyAlignment="1">
      <alignment horizontal="center" vertical="center"/>
    </xf>
    <xf numFmtId="0" fontId="4" fillId="12" borderId="25" xfId="0" applyFont="1" applyFill="1" applyBorder="1" applyAlignment="1">
      <alignment horizontal="center" vertical="center" wrapText="1"/>
    </xf>
    <xf numFmtId="0" fontId="4" fillId="12" borderId="26" xfId="0" applyFont="1" applyFill="1" applyBorder="1" applyAlignment="1">
      <alignment horizontal="center" vertical="center" wrapText="1"/>
    </xf>
    <xf numFmtId="3" fontId="0" fillId="5" borderId="29" xfId="0" applyNumberFormat="1" applyFill="1" applyBorder="1" applyAlignment="1">
      <alignment horizontal="center" vertical="center" wrapText="1"/>
    </xf>
    <xf numFmtId="3" fontId="0" fillId="5" borderId="30" xfId="0" applyNumberFormat="1" applyFill="1" applyBorder="1" applyAlignment="1">
      <alignment horizontal="center" vertical="center" wrapText="1"/>
    </xf>
    <xf numFmtId="0" fontId="0" fillId="5" borderId="21" xfId="0" applyFill="1" applyBorder="1" applyAlignment="1">
      <alignment horizontal="center" vertical="center" wrapText="1"/>
    </xf>
    <xf numFmtId="0" fontId="0" fillId="5" borderId="29" xfId="0" applyFill="1" applyBorder="1" applyAlignment="1">
      <alignment horizontal="center" vertical="center" wrapText="1"/>
    </xf>
    <xf numFmtId="0" fontId="0" fillId="9" borderId="31" xfId="0" applyFill="1" applyBorder="1" applyAlignment="1">
      <alignment horizontal="center" vertical="center"/>
    </xf>
    <xf numFmtId="0" fontId="0" fillId="9" borderId="31" xfId="0" applyFill="1" applyBorder="1" applyAlignment="1">
      <alignment horizontal="center" vertical="center"/>
    </xf>
    <xf numFmtId="0" fontId="0" fillId="11" borderId="27" xfId="0" applyFill="1" applyBorder="1" applyAlignment="1">
      <alignment horizontal="center" vertical="center" wrapText="1"/>
    </xf>
    <xf numFmtId="0" fontId="1" fillId="8" borderId="32" xfId="0" applyFont="1" applyFill="1" applyBorder="1" applyAlignment="1">
      <alignment horizontal="center" vertical="center" wrapText="1"/>
    </xf>
    <xf numFmtId="0" fontId="1" fillId="8" borderId="9" xfId="0" applyFont="1" applyFill="1" applyBorder="1" applyAlignment="1">
      <alignment horizontal="center" vertical="center"/>
    </xf>
    <xf numFmtId="0" fontId="1" fillId="8" borderId="9" xfId="0" applyFont="1" applyFill="1" applyBorder="1" applyAlignment="1">
      <alignment horizontal="center" vertical="center" wrapText="1"/>
    </xf>
    <xf numFmtId="0" fontId="1" fillId="8" borderId="28" xfId="0" applyFont="1" applyFill="1" applyBorder="1" applyAlignment="1">
      <alignment horizontal="center" vertical="center" wrapText="1"/>
    </xf>
    <xf numFmtId="0" fontId="1" fillId="8" borderId="33" xfId="0" applyFont="1" applyFill="1" applyBorder="1" applyAlignment="1">
      <alignment horizontal="center" vertical="center" wrapText="1"/>
    </xf>
    <xf numFmtId="0" fontId="1" fillId="8" borderId="34" xfId="0" applyFont="1" applyFill="1" applyBorder="1" applyAlignment="1">
      <alignment horizontal="center" vertical="center" wrapText="1"/>
    </xf>
    <xf numFmtId="0" fontId="1" fillId="8"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0" fillId="0" borderId="37" xfId="0" applyBorder="1" applyAlignment="1">
      <alignment horizontal="center" vertical="center"/>
    </xf>
    <xf numFmtId="0" fontId="4" fillId="7" borderId="38" xfId="0" applyFont="1" applyFill="1" applyBorder="1" applyAlignment="1">
      <alignment horizontal="center" vertical="center"/>
    </xf>
    <xf numFmtId="0" fontId="0" fillId="0" borderId="38" xfId="0" applyBorder="1" applyAlignment="1">
      <alignment horizontal="center" vertical="center"/>
    </xf>
    <xf numFmtId="0" fontId="0" fillId="4" borderId="38" xfId="0" applyFill="1" applyBorder="1" applyAlignment="1">
      <alignment horizontal="center" vertical="center"/>
    </xf>
    <xf numFmtId="0" fontId="0" fillId="10" borderId="38" xfId="0" applyFill="1" applyBorder="1" applyAlignment="1">
      <alignment horizontal="center" vertical="center"/>
    </xf>
    <xf numFmtId="3" fontId="0" fillId="5" borderId="39" xfId="0" applyNumberFormat="1" applyFill="1" applyBorder="1" applyAlignment="1">
      <alignment horizontal="center" vertical="center" wrapText="1"/>
    </xf>
    <xf numFmtId="0" fontId="0" fillId="11" borderId="40" xfId="0" applyFill="1" applyBorder="1" applyAlignment="1">
      <alignment horizontal="center" vertical="center" wrapText="1"/>
    </xf>
    <xf numFmtId="0" fontId="0" fillId="9" borderId="41" xfId="0" applyFill="1" applyBorder="1" applyAlignment="1">
      <alignment horizontal="center" vertical="center"/>
    </xf>
    <xf numFmtId="165" fontId="0" fillId="12" borderId="42" xfId="0" applyNumberFormat="1" applyFill="1" applyBorder="1" applyAlignment="1">
      <alignment horizontal="center" vertical="center"/>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4" fillId="7" borderId="45" xfId="0" applyFont="1" applyFill="1" applyBorder="1" applyAlignment="1">
      <alignment horizontal="center" vertical="center"/>
    </xf>
    <xf numFmtId="0" fontId="4" fillId="7" borderId="46" xfId="0" applyFont="1" applyFill="1" applyBorder="1" applyAlignment="1">
      <alignment horizontal="center" vertical="center"/>
    </xf>
    <xf numFmtId="0" fontId="0" fillId="0" borderId="46" xfId="0" applyBorder="1" applyAlignment="1">
      <alignment horizontal="center" wrapText="1"/>
    </xf>
    <xf numFmtId="0" fontId="4" fillId="5" borderId="47" xfId="0" applyFont="1" applyFill="1" applyBorder="1" applyAlignment="1">
      <alignment horizontal="center" vertical="center" wrapText="1"/>
    </xf>
    <xf numFmtId="0" fontId="0" fillId="11" borderId="48" xfId="0" applyFill="1" applyBorder="1" applyAlignment="1">
      <alignment horizontal="center" vertical="center" wrapText="1"/>
    </xf>
    <xf numFmtId="0" fontId="0" fillId="9" borderId="49" xfId="0" applyFill="1" applyBorder="1" applyAlignment="1">
      <alignment horizontal="center" vertical="center"/>
    </xf>
    <xf numFmtId="0" fontId="4" fillId="12" borderId="50"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0" fillId="0" borderId="52" xfId="0" applyBorder="1" applyAlignment="1">
      <alignment horizontal="center" vertical="center"/>
    </xf>
    <xf numFmtId="0" fontId="0" fillId="7" borderId="53" xfId="0" applyFill="1" applyBorder="1" applyAlignment="1">
      <alignment horizontal="center" vertical="center"/>
    </xf>
    <xf numFmtId="0" fontId="0" fillId="0" borderId="53" xfId="0" applyBorder="1" applyAlignment="1">
      <alignment horizontal="center" vertical="center"/>
    </xf>
    <xf numFmtId="0" fontId="0" fillId="4" borderId="53" xfId="0" applyFill="1" applyBorder="1" applyAlignment="1">
      <alignment horizontal="center" vertical="center"/>
    </xf>
    <xf numFmtId="164" fontId="0" fillId="10" borderId="53" xfId="0" applyNumberFormat="1" applyFill="1" applyBorder="1" applyAlignment="1">
      <alignment horizontal="center" vertical="center"/>
    </xf>
    <xf numFmtId="0" fontId="0" fillId="5" borderId="54" xfId="0" applyFill="1" applyBorder="1" applyAlignment="1">
      <alignment horizontal="center" vertical="center" wrapText="1"/>
    </xf>
    <xf numFmtId="0" fontId="0" fillId="11" borderId="55" xfId="0" applyFill="1" applyBorder="1" applyAlignment="1">
      <alignment horizontal="center" vertical="center" wrapText="1"/>
    </xf>
    <xf numFmtId="0" fontId="0" fillId="9" borderId="56" xfId="0" applyFill="1" applyBorder="1" applyAlignment="1">
      <alignment horizontal="center" vertical="center"/>
    </xf>
    <xf numFmtId="0" fontId="0" fillId="12" borderId="57" xfId="0" applyFill="1" applyBorder="1" applyAlignment="1">
      <alignment horizontal="center" vertical="center"/>
    </xf>
    <xf numFmtId="0" fontId="0" fillId="7" borderId="38" xfId="0" applyFill="1" applyBorder="1" applyAlignment="1">
      <alignment horizontal="center" vertical="center"/>
    </xf>
    <xf numFmtId="9" fontId="0" fillId="4" borderId="38" xfId="0" applyNumberFormat="1" applyFill="1" applyBorder="1" applyAlignment="1">
      <alignment horizontal="center" vertical="center"/>
    </xf>
    <xf numFmtId="0" fontId="0" fillId="5" borderId="58" xfId="0" applyFill="1" applyBorder="1" applyAlignment="1">
      <alignment horizontal="center" vertical="center" wrapText="1"/>
    </xf>
    <xf numFmtId="0" fontId="0" fillId="9" borderId="41" xfId="0" applyFill="1" applyBorder="1" applyAlignment="1">
      <alignment horizontal="center" vertical="center"/>
    </xf>
    <xf numFmtId="0" fontId="0" fillId="12" borderId="42" xfId="0" applyFill="1" applyBorder="1" applyAlignment="1">
      <alignment horizontal="center" vertical="center"/>
    </xf>
    <xf numFmtId="0" fontId="0" fillId="0" borderId="45" xfId="0" applyBorder="1" applyAlignment="1">
      <alignment horizontal="center" vertical="center"/>
    </xf>
    <xf numFmtId="0" fontId="0" fillId="7" borderId="46" xfId="0" applyFill="1" applyBorder="1" applyAlignment="1">
      <alignment horizontal="center" vertical="center"/>
    </xf>
    <xf numFmtId="0" fontId="0" fillId="0" borderId="46" xfId="0" applyBorder="1" applyAlignment="1">
      <alignment horizontal="center" vertical="center"/>
    </xf>
    <xf numFmtId="0" fontId="0" fillId="4" borderId="46" xfId="0" applyFill="1" applyBorder="1" applyAlignment="1">
      <alignment horizontal="center" vertical="center"/>
    </xf>
    <xf numFmtId="0" fontId="0" fillId="10" borderId="46" xfId="0" applyFill="1" applyBorder="1" applyAlignment="1">
      <alignment horizontal="center" vertical="center"/>
    </xf>
    <xf numFmtId="0" fontId="0" fillId="5" borderId="47" xfId="0" applyFill="1" applyBorder="1" applyAlignment="1">
      <alignment horizontal="center" vertical="center" wrapText="1"/>
    </xf>
    <xf numFmtId="0" fontId="0" fillId="9" borderId="49" xfId="0" applyFill="1" applyBorder="1" applyAlignment="1">
      <alignment horizontal="center" vertical="center"/>
    </xf>
    <xf numFmtId="0" fontId="0" fillId="12" borderId="59" xfId="0" applyFill="1" applyBorder="1" applyAlignment="1">
      <alignment horizontal="center" vertical="center"/>
    </xf>
    <xf numFmtId="0" fontId="0" fillId="5" borderId="39" xfId="0" applyFill="1" applyBorder="1" applyAlignment="1">
      <alignment horizontal="center" vertical="center" wrapText="1"/>
    </xf>
    <xf numFmtId="0" fontId="0" fillId="5" borderId="60" xfId="0" applyFill="1" applyBorder="1" applyAlignment="1">
      <alignment horizontal="center" vertical="center" wrapText="1"/>
    </xf>
    <xf numFmtId="9" fontId="0" fillId="4" borderId="53" xfId="0" applyNumberFormat="1" applyFill="1" applyBorder="1" applyAlignment="1">
      <alignment horizontal="center" vertical="center"/>
    </xf>
    <xf numFmtId="0" fontId="0" fillId="10" borderId="53"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0E399"/>
      <color rgb="FFE0F7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145320</xdr:colOff>
      <xdr:row>27</xdr:row>
      <xdr:rowOff>99366</xdr:rowOff>
    </xdr:from>
    <xdr:to>
      <xdr:col>5</xdr:col>
      <xdr:colOff>823992</xdr:colOff>
      <xdr:row>36</xdr:row>
      <xdr:rowOff>4753</xdr:rowOff>
    </xdr:to>
    <xdr:pic>
      <xdr:nvPicPr>
        <xdr:cNvPr id="6" name="Picture 2">
          <a:extLst>
            <a:ext uri="{FF2B5EF4-FFF2-40B4-BE49-F238E27FC236}">
              <a16:creationId xmlns:a16="http://schemas.microsoft.com/office/drawing/2014/main" id="{2B78078E-0983-6F68-85DB-07FAF494F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527" y="9120745"/>
          <a:ext cx="3306258" cy="16231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07593-1961-46BB-A7E6-5FAF24FBBF39}">
  <sheetPr>
    <pageSetUpPr fitToPage="1"/>
  </sheetPr>
  <dimension ref="B2:X87"/>
  <sheetViews>
    <sheetView showGridLines="0" tabSelected="1" zoomScale="77" zoomScaleNormal="30" workbookViewId="0">
      <selection activeCell="M25" sqref="M25"/>
    </sheetView>
  </sheetViews>
  <sheetFormatPr defaultRowHeight="15" customHeight="1" x14ac:dyDescent="0.35"/>
  <cols>
    <col min="3" max="3" width="14.1796875" style="2" customWidth="1"/>
    <col min="4" max="4" width="11.1796875" style="2" customWidth="1"/>
    <col min="5" max="5" width="12.453125" style="2" customWidth="1"/>
    <col min="6" max="6" width="14.1796875" style="2" customWidth="1"/>
    <col min="7" max="7" width="11.453125" customWidth="1"/>
    <col min="8" max="8" width="11.81640625" style="2" customWidth="1"/>
    <col min="9" max="10" width="18.453125" style="2" customWidth="1"/>
    <col min="11" max="11" width="15.7265625" style="2" customWidth="1"/>
    <col min="12" max="12" width="15.1796875" style="8" customWidth="1"/>
    <col min="13" max="14" width="15.26953125" style="8" customWidth="1"/>
    <col min="15" max="15" width="47.1796875" customWidth="1"/>
    <col min="16" max="16" width="46.54296875" customWidth="1"/>
    <col min="17" max="17" width="54.1796875" customWidth="1"/>
    <col min="18" max="18" width="65.7265625" customWidth="1"/>
  </cols>
  <sheetData>
    <row r="2" spans="2:24" thickBot="1" x14ac:dyDescent="0.4">
      <c r="B2" s="8"/>
      <c r="C2" s="8"/>
      <c r="D2" s="3"/>
      <c r="E2" s="3"/>
      <c r="F2" s="3"/>
      <c r="G2" s="1"/>
      <c r="H2" s="3"/>
      <c r="I2" s="3"/>
      <c r="J2" s="3"/>
      <c r="K2" s="3"/>
      <c r="O2" s="1"/>
      <c r="P2" s="1"/>
      <c r="Q2" s="1"/>
      <c r="R2" s="1"/>
      <c r="S2" s="1"/>
      <c r="T2" s="1"/>
      <c r="U2" s="1"/>
      <c r="V2" s="1"/>
      <c r="W2" s="1"/>
      <c r="X2" s="1"/>
    </row>
    <row r="3" spans="2:24" ht="24.65" customHeight="1" thickBot="1" x14ac:dyDescent="0.4">
      <c r="B3" s="8"/>
      <c r="C3" s="86" t="s">
        <v>0</v>
      </c>
      <c r="D3" s="87"/>
      <c r="E3" s="87"/>
      <c r="F3" s="87"/>
      <c r="G3" s="87"/>
      <c r="H3" s="87"/>
      <c r="I3" s="87"/>
      <c r="J3" s="99"/>
      <c r="K3" s="99"/>
      <c r="L3" s="88"/>
      <c r="M3" s="3"/>
      <c r="O3" s="7" t="s">
        <v>1</v>
      </c>
      <c r="P3" s="1"/>
      <c r="Q3" s="1"/>
      <c r="R3" s="1"/>
      <c r="S3" s="1"/>
      <c r="T3" s="1"/>
      <c r="U3" s="1"/>
      <c r="V3" s="1"/>
      <c r="W3" s="1"/>
      <c r="X3" s="1"/>
    </row>
    <row r="4" spans="2:24" s="3" customFormat="1" ht="39.65" customHeight="1" thickBot="1" x14ac:dyDescent="0.4">
      <c r="B4" s="8"/>
      <c r="C4" s="110" t="s">
        <v>2</v>
      </c>
      <c r="D4" s="111" t="s">
        <v>3</v>
      </c>
      <c r="E4" s="112" t="s">
        <v>4</v>
      </c>
      <c r="F4" s="112" t="s">
        <v>5</v>
      </c>
      <c r="G4" s="111" t="s">
        <v>6</v>
      </c>
      <c r="H4" s="112" t="s">
        <v>75</v>
      </c>
      <c r="I4" s="113" t="s">
        <v>8</v>
      </c>
      <c r="J4" s="114" t="s">
        <v>11</v>
      </c>
      <c r="K4" s="115" t="s">
        <v>9</v>
      </c>
      <c r="L4" s="116" t="s">
        <v>10</v>
      </c>
      <c r="M4" s="97"/>
      <c r="N4" s="89" t="s">
        <v>9</v>
      </c>
      <c r="O4" s="3" t="s">
        <v>12</v>
      </c>
      <c r="P4" s="3" t="s">
        <v>13</v>
      </c>
      <c r="Q4" s="3" t="s">
        <v>14</v>
      </c>
    </row>
    <row r="5" spans="2:24" ht="15.65" customHeight="1" x14ac:dyDescent="0.35">
      <c r="B5" s="8"/>
      <c r="C5" s="117" t="s">
        <v>15</v>
      </c>
      <c r="D5" s="118" t="s">
        <v>16</v>
      </c>
      <c r="E5" s="119">
        <v>5.66</v>
      </c>
      <c r="F5" s="120">
        <f>SUM(E5,E6,E7,E8)</f>
        <v>16.450000000000003</v>
      </c>
      <c r="G5" s="121" t="s">
        <v>17</v>
      </c>
      <c r="H5" s="122">
        <v>26.45</v>
      </c>
      <c r="I5" s="123" t="s">
        <v>18</v>
      </c>
      <c r="J5" s="124" t="s">
        <v>19</v>
      </c>
      <c r="K5" s="125">
        <v>20</v>
      </c>
      <c r="L5" s="126">
        <v>4.8419999999999996</v>
      </c>
      <c r="M5" s="98"/>
      <c r="N5" s="90">
        <v>20</v>
      </c>
      <c r="O5" s="5"/>
      <c r="P5" s="1"/>
      <c r="Q5" s="1"/>
      <c r="R5" s="1"/>
      <c r="S5" s="1"/>
      <c r="T5" s="1"/>
      <c r="U5" s="1"/>
      <c r="V5" s="1"/>
      <c r="W5" s="1"/>
    </row>
    <row r="6" spans="2:24" ht="17.149999999999999" customHeight="1" x14ac:dyDescent="0.35">
      <c r="B6" s="8"/>
      <c r="C6" s="127"/>
      <c r="D6" s="41" t="s">
        <v>20</v>
      </c>
      <c r="E6" s="12">
        <v>3.83</v>
      </c>
      <c r="F6" s="67"/>
      <c r="G6" s="72"/>
      <c r="H6" s="69"/>
      <c r="I6" s="103"/>
      <c r="J6" s="109"/>
      <c r="K6" s="107">
        <v>10</v>
      </c>
      <c r="L6" s="100">
        <v>0.67100000000000004</v>
      </c>
      <c r="M6" s="98"/>
      <c r="N6" s="91">
        <v>10</v>
      </c>
      <c r="O6" s="5"/>
      <c r="P6" s="1"/>
      <c r="Q6" s="1"/>
      <c r="R6" s="1"/>
      <c r="S6" s="1"/>
      <c r="T6" s="1"/>
      <c r="U6" s="1"/>
      <c r="V6" s="1"/>
      <c r="W6" s="1"/>
    </row>
    <row r="7" spans="2:24" ht="17.5" customHeight="1" x14ac:dyDescent="0.35">
      <c r="B7" s="8"/>
      <c r="C7" s="127"/>
      <c r="D7" s="42" t="s">
        <v>21</v>
      </c>
      <c r="E7" s="12">
        <v>2.64</v>
      </c>
      <c r="F7" s="67"/>
      <c r="G7" s="72"/>
      <c r="H7" s="69"/>
      <c r="I7" s="103"/>
      <c r="J7" s="109"/>
      <c r="K7" s="107">
        <v>10</v>
      </c>
      <c r="L7" s="101" t="s">
        <v>22</v>
      </c>
      <c r="M7" s="98"/>
      <c r="N7" s="91">
        <v>10</v>
      </c>
      <c r="O7" s="5"/>
      <c r="P7" s="1"/>
      <c r="Q7" s="1"/>
      <c r="R7" s="1"/>
      <c r="S7" s="1"/>
      <c r="T7" s="1"/>
      <c r="U7" s="1"/>
      <c r="V7" s="1"/>
      <c r="W7" s="1"/>
    </row>
    <row r="8" spans="2:24" ht="16" customHeight="1" x14ac:dyDescent="0.35">
      <c r="B8" s="8"/>
      <c r="C8" s="127"/>
      <c r="D8" s="42" t="s">
        <v>23</v>
      </c>
      <c r="E8" s="12">
        <v>4.32</v>
      </c>
      <c r="F8" s="67"/>
      <c r="G8" s="72"/>
      <c r="H8" s="69"/>
      <c r="I8" s="104"/>
      <c r="J8" s="109"/>
      <c r="K8" s="107">
        <v>10</v>
      </c>
      <c r="L8" s="102"/>
      <c r="M8" s="98"/>
      <c r="N8" s="91">
        <v>10</v>
      </c>
      <c r="O8" s="5"/>
      <c r="P8" s="1"/>
      <c r="Q8" s="1"/>
      <c r="R8" s="1"/>
      <c r="S8" s="1"/>
      <c r="T8" s="1"/>
      <c r="U8" s="1"/>
      <c r="V8" s="1"/>
      <c r="W8" s="1"/>
    </row>
    <row r="9" spans="2:24" ht="30" customHeight="1" thickBot="1" x14ac:dyDescent="0.4">
      <c r="B9" s="8"/>
      <c r="C9" s="128"/>
      <c r="D9" s="129" t="s">
        <v>24</v>
      </c>
      <c r="E9" s="130" t="s">
        <v>25</v>
      </c>
      <c r="F9" s="131" t="s">
        <v>26</v>
      </c>
      <c r="G9" s="131"/>
      <c r="H9" s="131"/>
      <c r="I9" s="132" t="s">
        <v>27</v>
      </c>
      <c r="J9" s="133"/>
      <c r="K9" s="134">
        <v>10</v>
      </c>
      <c r="L9" s="135"/>
      <c r="M9" s="98"/>
      <c r="N9" s="92">
        <v>10</v>
      </c>
      <c r="O9" s="5"/>
      <c r="P9" s="1"/>
      <c r="Q9" s="1"/>
      <c r="R9" s="1"/>
      <c r="S9" s="1"/>
      <c r="T9" s="1"/>
      <c r="U9" s="1"/>
      <c r="V9" s="1"/>
      <c r="W9" s="1"/>
    </row>
    <row r="10" spans="2:24" s="2" customFormat="1" ht="119.5" customHeight="1" thickBot="1" x14ac:dyDescent="0.4">
      <c r="B10" s="8"/>
      <c r="C10" s="136" t="s">
        <v>28</v>
      </c>
      <c r="D10" s="137" t="s">
        <v>29</v>
      </c>
      <c r="E10" s="138">
        <v>1142.4000000000001</v>
      </c>
      <c r="F10" s="139">
        <v>1142.4000000000001</v>
      </c>
      <c r="G10" s="140" t="s">
        <v>30</v>
      </c>
      <c r="H10" s="141">
        <v>1152.4000000000001</v>
      </c>
      <c r="I10" s="142" t="s">
        <v>31</v>
      </c>
      <c r="J10" s="143" t="s">
        <v>32</v>
      </c>
      <c r="K10" s="144">
        <v>1215</v>
      </c>
      <c r="L10" s="145">
        <v>1230.4000000000001</v>
      </c>
      <c r="M10" s="98"/>
      <c r="N10" s="93">
        <v>1215</v>
      </c>
      <c r="O10" s="10" t="s">
        <v>33</v>
      </c>
      <c r="P10" s="3"/>
      <c r="Q10" s="3"/>
      <c r="R10" s="3"/>
      <c r="S10" s="3"/>
      <c r="T10" s="3"/>
      <c r="U10" s="3"/>
      <c r="V10" s="3"/>
      <c r="W10" s="3"/>
    </row>
    <row r="11" spans="2:24" ht="48" customHeight="1" x14ac:dyDescent="0.35">
      <c r="B11" s="8"/>
      <c r="C11" s="117" t="s">
        <v>34</v>
      </c>
      <c r="D11" s="118" t="s">
        <v>35</v>
      </c>
      <c r="E11" s="146">
        <v>449.2</v>
      </c>
      <c r="F11" s="120">
        <f>SUM(E11,E12,E13,E14,E15)</f>
        <v>549.70000000000005</v>
      </c>
      <c r="G11" s="147">
        <v>1</v>
      </c>
      <c r="H11" s="122">
        <f>SUM(F11,F11)</f>
        <v>1099.4000000000001</v>
      </c>
      <c r="I11" s="148" t="s">
        <v>36</v>
      </c>
      <c r="J11" s="124" t="s">
        <v>37</v>
      </c>
      <c r="K11" s="149">
        <v>544</v>
      </c>
      <c r="L11" s="150">
        <v>455</v>
      </c>
      <c r="M11" s="98"/>
      <c r="N11" s="94">
        <v>544</v>
      </c>
      <c r="O11" s="5" t="s">
        <v>38</v>
      </c>
      <c r="P11" s="6" t="s">
        <v>39</v>
      </c>
      <c r="Q11" s="1"/>
      <c r="R11" s="1"/>
      <c r="S11" s="1"/>
      <c r="T11" s="1"/>
      <c r="U11" s="1"/>
      <c r="V11" s="1"/>
      <c r="W11" s="1"/>
    </row>
    <row r="12" spans="2:24" ht="15" customHeight="1" x14ac:dyDescent="0.35">
      <c r="B12" s="8"/>
      <c r="C12" s="127"/>
      <c r="D12" s="41" t="s">
        <v>40</v>
      </c>
      <c r="E12" s="14">
        <v>85.4</v>
      </c>
      <c r="F12" s="67"/>
      <c r="G12" s="72"/>
      <c r="H12" s="69"/>
      <c r="I12" s="105" t="s">
        <v>76</v>
      </c>
      <c r="J12" s="109"/>
      <c r="K12" s="108"/>
      <c r="L12" s="100">
        <v>79.2</v>
      </c>
      <c r="M12" s="98"/>
      <c r="N12" s="95"/>
      <c r="O12" s="5"/>
      <c r="P12" s="1"/>
      <c r="Q12" s="1"/>
      <c r="R12" s="1"/>
      <c r="S12" s="1"/>
      <c r="T12" s="1"/>
      <c r="U12" s="1"/>
      <c r="V12" s="1"/>
      <c r="W12" s="1"/>
    </row>
    <row r="13" spans="2:24" ht="14.5" x14ac:dyDescent="0.35">
      <c r="B13" s="8"/>
      <c r="C13" s="127"/>
      <c r="D13" s="41" t="s">
        <v>42</v>
      </c>
      <c r="E13" s="14">
        <v>8.1</v>
      </c>
      <c r="F13" s="67"/>
      <c r="G13" s="72"/>
      <c r="H13" s="69"/>
      <c r="I13" s="105"/>
      <c r="J13" s="109"/>
      <c r="K13" s="108">
        <v>17</v>
      </c>
      <c r="L13" s="100">
        <v>10</v>
      </c>
      <c r="M13" s="98"/>
      <c r="N13" s="95">
        <v>17</v>
      </c>
      <c r="O13" s="5"/>
      <c r="P13" s="1"/>
      <c r="Q13" s="1"/>
      <c r="R13" s="1"/>
      <c r="S13" s="1"/>
      <c r="T13" s="1"/>
      <c r="U13" s="1"/>
      <c r="V13" s="1"/>
      <c r="W13" s="1"/>
    </row>
    <row r="14" spans="2:24" ht="21.65" customHeight="1" x14ac:dyDescent="0.35">
      <c r="B14" s="8"/>
      <c r="C14" s="127"/>
      <c r="D14" s="41" t="s">
        <v>43</v>
      </c>
      <c r="E14" s="14">
        <v>5.0999999999999996</v>
      </c>
      <c r="F14" s="67"/>
      <c r="G14" s="72"/>
      <c r="H14" s="69"/>
      <c r="I14" s="105" t="s">
        <v>44</v>
      </c>
      <c r="J14" s="109"/>
      <c r="K14" s="108"/>
      <c r="L14" s="100">
        <v>2.6</v>
      </c>
      <c r="M14" s="98"/>
      <c r="N14" s="95"/>
      <c r="O14" s="5"/>
      <c r="P14" s="1"/>
      <c r="Q14" t="s">
        <v>45</v>
      </c>
      <c r="R14" s="1"/>
      <c r="S14" s="1"/>
      <c r="T14" s="1"/>
      <c r="U14" s="1"/>
      <c r="V14" s="1"/>
      <c r="W14" s="1"/>
    </row>
    <row r="15" spans="2:24" ht="24" customHeight="1" thickBot="1" x14ac:dyDescent="0.4">
      <c r="B15" s="8"/>
      <c r="C15" s="128"/>
      <c r="D15" s="151" t="s">
        <v>46</v>
      </c>
      <c r="E15" s="152">
        <v>1.9</v>
      </c>
      <c r="F15" s="153"/>
      <c r="G15" s="154"/>
      <c r="H15" s="155"/>
      <c r="I15" s="156"/>
      <c r="J15" s="133"/>
      <c r="K15" s="157"/>
      <c r="L15" s="158">
        <v>2.7</v>
      </c>
      <c r="M15" s="98"/>
      <c r="N15" s="96"/>
      <c r="O15" s="5"/>
      <c r="P15" s="6" t="s">
        <v>39</v>
      </c>
      <c r="Q15" t="s">
        <v>45</v>
      </c>
      <c r="R15" s="1"/>
      <c r="S15" s="1"/>
      <c r="T15" s="1"/>
      <c r="U15" s="1"/>
      <c r="V15" s="1"/>
      <c r="W15" s="1"/>
    </row>
    <row r="16" spans="2:24" ht="20.149999999999999" customHeight="1" x14ac:dyDescent="0.35">
      <c r="B16" s="8"/>
      <c r="C16" s="117" t="s">
        <v>47</v>
      </c>
      <c r="D16" s="118" t="s">
        <v>48</v>
      </c>
      <c r="E16" s="146">
        <v>8.0299999999999994</v>
      </c>
      <c r="F16" s="120">
        <f>SUM(E16,E17,E18,E19,E20)</f>
        <v>40.15</v>
      </c>
      <c r="G16" s="121" t="s">
        <v>49</v>
      </c>
      <c r="H16" s="122">
        <f>SUM(F16,F16)</f>
        <v>80.3</v>
      </c>
      <c r="I16" s="159" t="s">
        <v>44</v>
      </c>
      <c r="J16" s="124" t="s">
        <v>78</v>
      </c>
      <c r="K16" s="125">
        <v>10.4</v>
      </c>
      <c r="L16" s="150">
        <v>9.1999999999999993</v>
      </c>
      <c r="M16" s="98"/>
      <c r="N16" s="90">
        <v>10.4</v>
      </c>
      <c r="O16" s="5"/>
      <c r="P16" s="6" t="s">
        <v>50</v>
      </c>
      <c r="Q16" s="1"/>
      <c r="R16" s="1"/>
      <c r="S16" s="1"/>
      <c r="T16" s="1"/>
      <c r="U16" s="1"/>
      <c r="V16" s="1"/>
      <c r="W16" s="1"/>
    </row>
    <row r="17" spans="2:24" ht="17.5" customHeight="1" x14ac:dyDescent="0.35">
      <c r="B17" s="8"/>
      <c r="C17" s="127"/>
      <c r="D17" s="41" t="s">
        <v>51</v>
      </c>
      <c r="E17" s="14">
        <v>8.0299999999999994</v>
      </c>
      <c r="F17" s="67"/>
      <c r="G17" s="72"/>
      <c r="H17" s="69"/>
      <c r="I17" s="106"/>
      <c r="J17" s="109"/>
      <c r="K17" s="107">
        <v>10.4</v>
      </c>
      <c r="L17" s="100">
        <v>12.1</v>
      </c>
      <c r="M17" s="98"/>
      <c r="N17" s="91">
        <v>10.4</v>
      </c>
      <c r="O17" s="5"/>
      <c r="P17" s="6" t="s">
        <v>50</v>
      </c>
      <c r="Q17" s="1"/>
      <c r="R17" s="1"/>
      <c r="S17" s="1"/>
      <c r="T17" s="1"/>
      <c r="U17" s="1"/>
      <c r="V17" s="1"/>
      <c r="W17" s="1"/>
    </row>
    <row r="18" spans="2:24" ht="17.5" customHeight="1" x14ac:dyDescent="0.35">
      <c r="B18" s="8"/>
      <c r="C18" s="127"/>
      <c r="D18" s="41" t="s">
        <v>52</v>
      </c>
      <c r="E18" s="14">
        <v>8.0299999999999994</v>
      </c>
      <c r="F18" s="67"/>
      <c r="G18" s="72"/>
      <c r="H18" s="69"/>
      <c r="I18" s="106"/>
      <c r="J18" s="109"/>
      <c r="K18" s="107">
        <v>10.4</v>
      </c>
      <c r="L18" s="100">
        <v>8.1999999999999993</v>
      </c>
      <c r="M18" s="98"/>
      <c r="N18" s="91">
        <v>10.4</v>
      </c>
      <c r="O18" s="5"/>
      <c r="P18" s="6" t="s">
        <v>50</v>
      </c>
      <c r="Q18" s="1"/>
      <c r="R18" s="1"/>
      <c r="S18" s="1"/>
      <c r="T18" s="1"/>
      <c r="U18" s="1"/>
      <c r="V18" s="1"/>
      <c r="W18" s="1"/>
    </row>
    <row r="19" spans="2:24" ht="17.5" customHeight="1" x14ac:dyDescent="0.35">
      <c r="B19" s="8"/>
      <c r="C19" s="127"/>
      <c r="D19" s="41" t="s">
        <v>53</v>
      </c>
      <c r="E19" s="14">
        <v>8.0299999999999994</v>
      </c>
      <c r="F19" s="67"/>
      <c r="G19" s="72"/>
      <c r="H19" s="69"/>
      <c r="I19" s="106"/>
      <c r="J19" s="109"/>
      <c r="K19" s="107">
        <v>10.4</v>
      </c>
      <c r="L19" s="100">
        <v>7.2</v>
      </c>
      <c r="M19" s="98"/>
      <c r="N19" s="91">
        <v>10.4</v>
      </c>
      <c r="O19" s="5"/>
      <c r="P19" s="6" t="s">
        <v>50</v>
      </c>
      <c r="Q19" s="1"/>
      <c r="R19" s="1"/>
      <c r="S19" s="1"/>
      <c r="T19" s="1"/>
      <c r="U19" s="1"/>
      <c r="V19" s="1"/>
      <c r="W19" s="1"/>
    </row>
    <row r="20" spans="2:24" ht="17.5" customHeight="1" thickBot="1" x14ac:dyDescent="0.4">
      <c r="B20" s="8"/>
      <c r="C20" s="128"/>
      <c r="D20" s="151" t="s">
        <v>54</v>
      </c>
      <c r="E20" s="152">
        <v>8.0299999999999994</v>
      </c>
      <c r="F20" s="153"/>
      <c r="G20" s="154"/>
      <c r="H20" s="155"/>
      <c r="I20" s="160"/>
      <c r="J20" s="133"/>
      <c r="K20" s="134">
        <v>10.4</v>
      </c>
      <c r="L20" s="158">
        <v>9</v>
      </c>
      <c r="M20" s="98"/>
      <c r="N20" s="91">
        <v>10.4</v>
      </c>
      <c r="O20" s="5"/>
      <c r="P20" s="6" t="s">
        <v>50</v>
      </c>
      <c r="Q20" s="1"/>
      <c r="R20" s="1"/>
      <c r="S20" s="1"/>
      <c r="T20" s="1"/>
      <c r="U20" s="1"/>
      <c r="V20" s="1"/>
      <c r="W20" s="1"/>
    </row>
    <row r="21" spans="2:24" s="2" customFormat="1" ht="58.5" thickBot="1" x14ac:dyDescent="0.4">
      <c r="B21" s="8"/>
      <c r="C21" s="136" t="s">
        <v>57</v>
      </c>
      <c r="D21" s="137" t="s">
        <v>58</v>
      </c>
      <c r="E21" s="138">
        <v>23.1</v>
      </c>
      <c r="F21" s="139">
        <v>23.1</v>
      </c>
      <c r="G21" s="161">
        <v>1</v>
      </c>
      <c r="H21" s="162">
        <v>46.2</v>
      </c>
      <c r="I21" s="142" t="s">
        <v>59</v>
      </c>
      <c r="J21" s="143" t="s">
        <v>77</v>
      </c>
      <c r="K21" s="144">
        <v>21</v>
      </c>
      <c r="L21" s="145">
        <v>22.2</v>
      </c>
      <c r="M21" s="98"/>
      <c r="N21" s="93">
        <v>21</v>
      </c>
      <c r="O21" s="10"/>
      <c r="P21" s="9" t="s">
        <v>39</v>
      </c>
      <c r="Q21" s="3"/>
      <c r="R21" s="3"/>
      <c r="S21" s="3"/>
      <c r="T21" s="3"/>
      <c r="U21" s="3"/>
      <c r="V21" s="3"/>
      <c r="W21" s="3"/>
    </row>
    <row r="22" spans="2:24" ht="14.5" x14ac:dyDescent="0.35">
      <c r="B22" s="3"/>
      <c r="C22" s="3"/>
      <c r="D22" s="11"/>
      <c r="E22" s="11"/>
      <c r="F22" s="11"/>
      <c r="G22" s="1"/>
      <c r="H22" s="3"/>
      <c r="I22" s="3"/>
      <c r="J22" s="3"/>
      <c r="K22" s="3"/>
      <c r="O22" s="1"/>
      <c r="P22" s="1"/>
      <c r="Q22" s="1"/>
      <c r="R22" s="1"/>
      <c r="S22" s="1"/>
      <c r="T22" s="1"/>
      <c r="U22" s="1"/>
      <c r="V22" s="1"/>
      <c r="W22" s="1"/>
      <c r="X22" s="1"/>
    </row>
    <row r="23" spans="2:24" ht="14.5" x14ac:dyDescent="0.35">
      <c r="B23" s="4"/>
      <c r="C23" s="2" t="s">
        <v>60</v>
      </c>
      <c r="D23" s="11"/>
      <c r="E23" s="11"/>
      <c r="F23" s="11"/>
      <c r="G23" s="1"/>
      <c r="H23" s="3"/>
      <c r="I23" s="3"/>
      <c r="J23" s="3"/>
      <c r="K23" s="3"/>
      <c r="O23" s="1"/>
      <c r="P23" s="1"/>
      <c r="Q23" s="1"/>
      <c r="R23" s="1"/>
      <c r="S23" s="1"/>
      <c r="T23" s="1"/>
      <c r="U23" s="1"/>
      <c r="V23" s="1"/>
      <c r="W23" s="1"/>
      <c r="X23" s="1"/>
    </row>
    <row r="24" spans="2:24" ht="14.5" x14ac:dyDescent="0.35">
      <c r="B24" s="4"/>
      <c r="C24" s="2" t="s">
        <v>61</v>
      </c>
      <c r="D24" s="11"/>
      <c r="E24" s="11"/>
      <c r="F24" s="11"/>
      <c r="G24" s="1"/>
      <c r="H24" s="3"/>
      <c r="I24" s="3"/>
      <c r="J24" s="3"/>
      <c r="K24" s="3"/>
      <c r="O24" s="1"/>
      <c r="P24" s="1"/>
      <c r="Q24" s="1"/>
      <c r="R24" s="1"/>
      <c r="S24" s="1"/>
      <c r="T24" s="1"/>
      <c r="U24" s="1"/>
      <c r="V24" s="1"/>
      <c r="W24" s="1"/>
      <c r="X24" s="1"/>
    </row>
    <row r="25" spans="2:24" ht="14.5" x14ac:dyDescent="0.35">
      <c r="B25" s="4"/>
      <c r="C25" s="2" t="s">
        <v>62</v>
      </c>
      <c r="D25" s="11"/>
      <c r="E25" s="11"/>
      <c r="F25" s="11"/>
      <c r="G25" s="1"/>
      <c r="H25" s="3"/>
      <c r="I25" s="3"/>
      <c r="J25" s="3"/>
      <c r="K25" s="3"/>
      <c r="O25" s="1"/>
      <c r="P25" s="1"/>
      <c r="Q25" s="1"/>
      <c r="R25" s="1"/>
      <c r="S25" s="1"/>
      <c r="T25" s="1"/>
      <c r="U25" s="1"/>
      <c r="V25" s="1"/>
      <c r="W25" s="1"/>
      <c r="X25" s="1"/>
    </row>
    <row r="26" spans="2:24" ht="14.5" x14ac:dyDescent="0.35">
      <c r="B26" s="4"/>
      <c r="C26" s="2" t="s">
        <v>63</v>
      </c>
      <c r="D26" s="11"/>
      <c r="E26" s="11"/>
      <c r="F26" s="11"/>
      <c r="G26" s="1"/>
      <c r="H26" s="3"/>
      <c r="I26" s="3"/>
      <c r="J26" s="3"/>
      <c r="K26" s="3"/>
      <c r="O26" s="1"/>
      <c r="P26" s="1"/>
      <c r="Q26" s="1"/>
      <c r="R26" s="1"/>
      <c r="S26" s="1"/>
      <c r="T26" s="1"/>
      <c r="U26" s="1"/>
      <c r="V26" s="1"/>
      <c r="W26" s="1"/>
      <c r="X26" s="1"/>
    </row>
    <row r="27" spans="2:24" ht="14.5" x14ac:dyDescent="0.35">
      <c r="B27" s="4"/>
      <c r="C27" s="2" t="s">
        <v>64</v>
      </c>
      <c r="D27" s="11"/>
      <c r="E27" s="11"/>
      <c r="F27" s="11" t="s">
        <v>65</v>
      </c>
      <c r="G27" s="1"/>
      <c r="H27" s="3"/>
      <c r="I27" s="3"/>
      <c r="J27" s="3"/>
      <c r="K27" s="3"/>
      <c r="O27" s="1"/>
      <c r="P27" s="1"/>
      <c r="Q27" s="1"/>
      <c r="R27" s="1"/>
      <c r="S27" s="1"/>
      <c r="T27" s="1"/>
      <c r="U27" s="1"/>
      <c r="V27" s="1"/>
      <c r="W27" s="1"/>
      <c r="X27" s="1"/>
    </row>
    <row r="28" spans="2:24" ht="14.5" x14ac:dyDescent="0.35">
      <c r="B28" s="4"/>
      <c r="D28" s="11"/>
      <c r="E28" s="11"/>
      <c r="F28" s="11"/>
      <c r="G28" s="1"/>
      <c r="H28" s="3"/>
      <c r="I28" s="3"/>
      <c r="J28" s="3"/>
      <c r="K28" s="3"/>
      <c r="O28" s="1"/>
      <c r="P28" s="1"/>
      <c r="Q28" s="1"/>
      <c r="R28" s="1"/>
      <c r="S28" s="1"/>
      <c r="T28" s="1"/>
      <c r="U28" s="1"/>
      <c r="V28" s="1"/>
      <c r="W28" s="1"/>
      <c r="X28" s="1"/>
    </row>
    <row r="29" spans="2:24" ht="14.5" x14ac:dyDescent="0.35">
      <c r="B29" s="4"/>
      <c r="D29" s="11"/>
      <c r="E29" s="11"/>
      <c r="F29" s="11"/>
      <c r="G29" s="1"/>
      <c r="H29" s="3"/>
      <c r="I29" s="3"/>
      <c r="J29" s="3"/>
      <c r="K29" s="3"/>
      <c r="O29" s="1"/>
      <c r="P29" s="1"/>
      <c r="Q29" s="1"/>
      <c r="R29" s="1"/>
      <c r="S29" s="1"/>
      <c r="T29" s="1"/>
      <c r="U29" s="1"/>
      <c r="V29" s="1"/>
      <c r="W29" s="1"/>
      <c r="X29" s="1"/>
    </row>
    <row r="30" spans="2:24" ht="14.5" x14ac:dyDescent="0.35">
      <c r="B30" s="4"/>
      <c r="D30" s="11"/>
      <c r="E30" s="11"/>
      <c r="F30" s="11"/>
      <c r="G30" s="1"/>
      <c r="H30" s="3" t="s">
        <v>66</v>
      </c>
      <c r="I30" s="3"/>
      <c r="J30" s="3"/>
      <c r="K30" s="3"/>
      <c r="O30" s="1"/>
      <c r="P30" s="1"/>
      <c r="Q30" s="1"/>
      <c r="R30" s="1"/>
      <c r="S30" s="1"/>
      <c r="T30" s="1"/>
      <c r="U30" s="1"/>
      <c r="V30" s="1"/>
      <c r="W30" s="1"/>
      <c r="X30" s="1"/>
    </row>
    <row r="31" spans="2:24" ht="14.5" x14ac:dyDescent="0.35">
      <c r="B31" s="4"/>
      <c r="D31" s="11"/>
      <c r="E31" s="11"/>
      <c r="F31" s="11"/>
      <c r="G31" s="1"/>
      <c r="H31" s="3" t="s">
        <v>67</v>
      </c>
      <c r="I31" s="3"/>
      <c r="J31" s="3"/>
      <c r="K31" s="3"/>
      <c r="O31" s="1"/>
      <c r="P31" s="1"/>
      <c r="Q31" s="1"/>
      <c r="R31" s="1"/>
      <c r="S31" s="1"/>
      <c r="T31" s="1"/>
      <c r="U31" s="1"/>
      <c r="V31" s="1"/>
      <c r="W31" s="1"/>
      <c r="X31" s="1"/>
    </row>
    <row r="32" spans="2:24" ht="14.5" x14ac:dyDescent="0.35">
      <c r="B32" s="4"/>
      <c r="D32" s="11"/>
      <c r="E32" s="11"/>
      <c r="F32" s="11"/>
      <c r="G32" s="1"/>
      <c r="H32" s="3" t="s">
        <v>68</v>
      </c>
      <c r="I32" s="3"/>
      <c r="J32" s="3"/>
      <c r="K32" s="3"/>
      <c r="O32" s="1"/>
      <c r="P32" s="1"/>
      <c r="Q32" s="1"/>
      <c r="R32" s="1"/>
      <c r="S32" s="1"/>
      <c r="T32" s="1"/>
      <c r="U32" s="1"/>
      <c r="V32" s="1"/>
      <c r="W32" s="1"/>
      <c r="X32" s="1"/>
    </row>
    <row r="33" spans="2:24" ht="14.5" x14ac:dyDescent="0.35">
      <c r="B33" s="4"/>
      <c r="D33" s="11"/>
      <c r="E33" s="11"/>
      <c r="F33" s="11"/>
      <c r="G33" s="1"/>
      <c r="H33" s="3" t="s">
        <v>69</v>
      </c>
      <c r="I33" s="3"/>
      <c r="J33" s="3"/>
      <c r="K33" s="3"/>
      <c r="O33" s="1"/>
      <c r="P33" s="1"/>
      <c r="Q33" s="1"/>
      <c r="R33" s="1"/>
      <c r="S33" s="1"/>
      <c r="T33" s="1"/>
      <c r="U33" s="1"/>
      <c r="V33" s="1"/>
      <c r="W33" s="1"/>
      <c r="X33" s="1"/>
    </row>
    <row r="34" spans="2:24" ht="14.5" x14ac:dyDescent="0.35">
      <c r="B34" s="4"/>
      <c r="D34" s="11"/>
      <c r="E34" s="11"/>
      <c r="F34" s="11"/>
      <c r="G34" s="1"/>
      <c r="H34" s="3"/>
      <c r="I34" s="3"/>
      <c r="J34" s="3"/>
      <c r="K34" s="3"/>
      <c r="O34" s="1"/>
      <c r="P34" s="1"/>
      <c r="Q34" s="1"/>
      <c r="R34" s="1"/>
      <c r="S34" s="1"/>
      <c r="T34" s="1"/>
      <c r="U34" s="1"/>
      <c r="V34" s="1"/>
      <c r="W34" s="1"/>
      <c r="X34" s="1"/>
    </row>
    <row r="35" spans="2:24" ht="14.5" x14ac:dyDescent="0.35">
      <c r="D35" s="3"/>
      <c r="E35" s="3"/>
      <c r="F35" s="3"/>
      <c r="G35" s="1"/>
      <c r="H35" s="3"/>
      <c r="I35" s="3"/>
      <c r="J35" s="3"/>
      <c r="K35" s="3"/>
      <c r="O35" s="1"/>
      <c r="P35" s="1"/>
      <c r="Q35" s="1"/>
      <c r="R35" s="1"/>
      <c r="S35" s="1"/>
      <c r="T35" s="1"/>
      <c r="U35" s="1"/>
      <c r="V35" s="1"/>
      <c r="W35" s="1"/>
      <c r="X35" s="1"/>
    </row>
    <row r="36" spans="2:24" ht="14.5" x14ac:dyDescent="0.35">
      <c r="D36" s="3"/>
      <c r="E36" s="3"/>
      <c r="F36" s="3"/>
      <c r="G36" s="1"/>
      <c r="H36" s="3"/>
      <c r="I36" s="3"/>
      <c r="J36" s="3"/>
      <c r="K36" s="3"/>
      <c r="O36" s="1"/>
      <c r="P36" s="1"/>
      <c r="Q36" s="1"/>
      <c r="R36" s="1"/>
      <c r="S36" s="1"/>
      <c r="T36" s="1"/>
      <c r="U36" s="1"/>
      <c r="V36" s="1"/>
      <c r="W36" s="1"/>
      <c r="X36" s="1"/>
    </row>
    <row r="37" spans="2:24" ht="14.5" x14ac:dyDescent="0.35">
      <c r="D37" s="3"/>
      <c r="E37" s="3"/>
      <c r="F37" s="3"/>
      <c r="G37" s="1"/>
      <c r="H37" s="3"/>
      <c r="I37" s="3"/>
      <c r="J37" s="3"/>
      <c r="K37" s="3"/>
      <c r="O37" s="1"/>
      <c r="P37" s="1"/>
      <c r="Q37" s="1"/>
      <c r="R37" s="1"/>
      <c r="S37" s="1"/>
      <c r="T37" s="1"/>
      <c r="U37" s="1"/>
      <c r="V37" s="1"/>
      <c r="W37" s="1"/>
      <c r="X37" s="1"/>
    </row>
    <row r="38" spans="2:24" ht="14.5" x14ac:dyDescent="0.35">
      <c r="D38" s="3"/>
      <c r="F38" s="3"/>
      <c r="G38" s="1"/>
      <c r="H38" s="3"/>
      <c r="I38" s="3"/>
      <c r="J38" s="3"/>
      <c r="K38" s="3"/>
      <c r="O38" s="1"/>
      <c r="P38" s="1"/>
      <c r="Q38" s="1"/>
      <c r="R38" s="1"/>
      <c r="S38" s="1"/>
      <c r="T38" s="1"/>
      <c r="U38" s="1"/>
      <c r="V38" s="1"/>
      <c r="W38" s="1"/>
      <c r="X38" s="1"/>
    </row>
    <row r="39" spans="2:24" ht="117" customHeight="1" x14ac:dyDescent="0.35">
      <c r="C39" s="61" t="s">
        <v>70</v>
      </c>
      <c r="D39" s="61"/>
      <c r="E39" s="61"/>
      <c r="F39" s="61"/>
      <c r="G39" s="61"/>
      <c r="H39" s="61"/>
      <c r="I39" s="61"/>
      <c r="J39" s="61"/>
      <c r="K39" s="61"/>
      <c r="L39" s="61"/>
      <c r="O39" s="1"/>
      <c r="P39" s="1"/>
      <c r="Q39" s="1"/>
      <c r="R39" s="1"/>
      <c r="S39" s="1"/>
      <c r="T39" s="1"/>
      <c r="U39" s="1"/>
      <c r="V39" s="1"/>
      <c r="W39" s="1"/>
      <c r="X39" s="1"/>
    </row>
    <row r="40" spans="2:24" ht="14.5" x14ac:dyDescent="0.35">
      <c r="D40" s="3"/>
      <c r="E40" s="3"/>
      <c r="F40" s="3"/>
      <c r="G40" s="1"/>
      <c r="H40" s="3"/>
      <c r="I40" s="3"/>
      <c r="J40" s="3"/>
      <c r="K40" s="3"/>
      <c r="O40" s="1"/>
      <c r="P40" s="1"/>
      <c r="Q40" s="1"/>
      <c r="R40" s="1"/>
      <c r="S40" s="1"/>
      <c r="T40" s="1"/>
      <c r="U40" s="1"/>
      <c r="V40" s="1"/>
      <c r="W40" s="1"/>
      <c r="X40" s="1"/>
    </row>
    <row r="41" spans="2:24" ht="41.15" customHeight="1" x14ac:dyDescent="0.35">
      <c r="C41" s="60" t="s">
        <v>71</v>
      </c>
      <c r="D41" s="60"/>
      <c r="E41" s="60"/>
      <c r="F41" s="60"/>
      <c r="G41" s="60"/>
      <c r="H41" s="60"/>
      <c r="I41" s="60"/>
      <c r="J41" s="60"/>
      <c r="K41" s="60"/>
      <c r="L41" s="60"/>
      <c r="O41" s="1"/>
      <c r="P41" s="1"/>
      <c r="Q41" s="1"/>
      <c r="R41" s="1"/>
      <c r="S41" s="1"/>
      <c r="T41" s="1"/>
      <c r="U41" s="1"/>
      <c r="V41" s="1"/>
      <c r="W41" s="1"/>
      <c r="X41" s="1"/>
    </row>
    <row r="42" spans="2:24" ht="14.5" x14ac:dyDescent="0.35">
      <c r="C42" s="2" t="s">
        <v>72</v>
      </c>
    </row>
    <row r="43" spans="2:24" ht="14.5" x14ac:dyDescent="0.35">
      <c r="C43" s="2" t="s">
        <v>73</v>
      </c>
    </row>
    <row r="47" spans="2:24" ht="15" customHeight="1" thickBot="1" x14ac:dyDescent="0.4"/>
    <row r="48" spans="2:24" ht="15" customHeight="1" thickBot="1" x14ac:dyDescent="0.4">
      <c r="C48" s="58" t="s">
        <v>0</v>
      </c>
      <c r="D48" s="59"/>
      <c r="E48" s="59"/>
      <c r="F48" s="59"/>
      <c r="G48" s="59"/>
      <c r="H48" s="59"/>
      <c r="I48" s="59"/>
      <c r="J48" s="59"/>
      <c r="K48" s="59"/>
      <c r="L48" s="59"/>
    </row>
    <row r="49" spans="3:12" ht="15" customHeight="1" thickBot="1" x14ac:dyDescent="0.4">
      <c r="C49" s="36" t="s">
        <v>2</v>
      </c>
      <c r="D49" s="37" t="s">
        <v>3</v>
      </c>
      <c r="E49" s="38" t="s">
        <v>4</v>
      </c>
      <c r="F49" s="38" t="s">
        <v>5</v>
      </c>
      <c r="G49" s="37" t="s">
        <v>6</v>
      </c>
      <c r="H49" s="38" t="s">
        <v>7</v>
      </c>
      <c r="I49" s="38" t="s">
        <v>9</v>
      </c>
      <c r="J49" s="38"/>
      <c r="K49" s="38" t="s">
        <v>8</v>
      </c>
      <c r="L49" s="38" t="s">
        <v>10</v>
      </c>
    </row>
    <row r="50" spans="3:12" ht="15" customHeight="1" x14ac:dyDescent="0.35">
      <c r="C50" s="62" t="s">
        <v>15</v>
      </c>
      <c r="D50" s="40" t="s">
        <v>16</v>
      </c>
      <c r="E50" s="45">
        <v>5.66</v>
      </c>
      <c r="F50" s="66">
        <f>SUM(E50,E51,E52,E53)</f>
        <v>16.450000000000003</v>
      </c>
      <c r="G50" s="71" t="s">
        <v>17</v>
      </c>
      <c r="H50" s="68">
        <v>26.45</v>
      </c>
      <c r="I50" s="25">
        <v>20</v>
      </c>
      <c r="J50" s="81"/>
      <c r="K50" s="52" t="s">
        <v>18</v>
      </c>
      <c r="L50" s="17">
        <v>4.8419999999999996</v>
      </c>
    </row>
    <row r="51" spans="3:12" ht="15" customHeight="1" x14ac:dyDescent="0.35">
      <c r="C51" s="63"/>
      <c r="D51" s="41" t="s">
        <v>20</v>
      </c>
      <c r="E51" s="12">
        <v>3.83</v>
      </c>
      <c r="F51" s="67"/>
      <c r="G51" s="72"/>
      <c r="H51" s="69"/>
      <c r="I51" s="13">
        <v>10</v>
      </c>
      <c r="J51" s="82"/>
      <c r="K51" s="53"/>
      <c r="L51" s="15">
        <v>0.67100000000000004</v>
      </c>
    </row>
    <row r="52" spans="3:12" ht="15" customHeight="1" x14ac:dyDescent="0.35">
      <c r="C52" s="63"/>
      <c r="D52" s="42" t="s">
        <v>21</v>
      </c>
      <c r="E52" s="12">
        <v>2.64</v>
      </c>
      <c r="F52" s="67"/>
      <c r="G52" s="72"/>
      <c r="H52" s="69"/>
      <c r="I52" s="13">
        <v>10</v>
      </c>
      <c r="J52" s="82"/>
      <c r="K52" s="53"/>
      <c r="L52" s="55" t="s">
        <v>22</v>
      </c>
    </row>
    <row r="53" spans="3:12" ht="15" customHeight="1" x14ac:dyDescent="0.35">
      <c r="C53" s="63"/>
      <c r="D53" s="42" t="s">
        <v>23</v>
      </c>
      <c r="E53" s="12">
        <v>4.32</v>
      </c>
      <c r="F53" s="67"/>
      <c r="G53" s="72"/>
      <c r="H53" s="69"/>
      <c r="I53" s="13">
        <v>10</v>
      </c>
      <c r="J53" s="83"/>
      <c r="K53" s="54"/>
      <c r="L53" s="56"/>
    </row>
    <row r="54" spans="3:12" ht="15" customHeight="1" thickBot="1" x14ac:dyDescent="0.4">
      <c r="C54" s="64"/>
      <c r="D54" s="43" t="s">
        <v>24</v>
      </c>
      <c r="E54" s="46" t="s">
        <v>25</v>
      </c>
      <c r="F54" s="65" t="s">
        <v>26</v>
      </c>
      <c r="G54" s="65"/>
      <c r="H54" s="65"/>
      <c r="I54" s="30">
        <v>10</v>
      </c>
      <c r="J54" s="30"/>
      <c r="K54" s="16" t="s">
        <v>27</v>
      </c>
      <c r="L54" s="57"/>
    </row>
    <row r="55" spans="3:12" ht="15" customHeight="1" thickBot="1" x14ac:dyDescent="0.4">
      <c r="C55" s="39" t="s">
        <v>28</v>
      </c>
      <c r="D55" s="35" t="s">
        <v>29</v>
      </c>
      <c r="E55" s="19">
        <v>1142.4000000000001</v>
      </c>
      <c r="F55" s="18">
        <v>1142.4000000000001</v>
      </c>
      <c r="G55" s="20" t="s">
        <v>30</v>
      </c>
      <c r="H55" s="21">
        <v>1152.4000000000001</v>
      </c>
      <c r="I55" s="22">
        <v>1215</v>
      </c>
      <c r="J55" s="22"/>
      <c r="K55" s="24" t="s">
        <v>31</v>
      </c>
      <c r="L55" s="23">
        <v>1230.4000000000001</v>
      </c>
    </row>
    <row r="56" spans="3:12" ht="15" customHeight="1" x14ac:dyDescent="0.35">
      <c r="C56" s="62" t="s">
        <v>74</v>
      </c>
      <c r="D56" s="40" t="s">
        <v>35</v>
      </c>
      <c r="E56" s="47">
        <v>449.2</v>
      </c>
      <c r="F56" s="66">
        <f>SUM(E56,E57,E58,E59,E60)</f>
        <v>549.70000000000005</v>
      </c>
      <c r="G56" s="74">
        <v>1</v>
      </c>
      <c r="H56" s="68">
        <f>SUM(F56,F56)</f>
        <v>1099.4000000000001</v>
      </c>
      <c r="I56" s="49">
        <v>544</v>
      </c>
      <c r="J56" s="25"/>
      <c r="K56" s="27" t="s">
        <v>36</v>
      </c>
      <c r="L56" s="26">
        <v>455</v>
      </c>
    </row>
    <row r="57" spans="3:12" ht="15" customHeight="1" x14ac:dyDescent="0.35">
      <c r="C57" s="63"/>
      <c r="D57" s="41" t="s">
        <v>40</v>
      </c>
      <c r="E57" s="14">
        <v>85.4</v>
      </c>
      <c r="F57" s="67"/>
      <c r="G57" s="72"/>
      <c r="H57" s="69"/>
      <c r="I57" s="50"/>
      <c r="J57" s="84"/>
      <c r="K57" s="79" t="s">
        <v>41</v>
      </c>
      <c r="L57" s="15">
        <v>79.2</v>
      </c>
    </row>
    <row r="58" spans="3:12" ht="15" customHeight="1" x14ac:dyDescent="0.35">
      <c r="C58" s="63"/>
      <c r="D58" s="41" t="s">
        <v>42</v>
      </c>
      <c r="E58" s="14">
        <v>8.1</v>
      </c>
      <c r="F58" s="67"/>
      <c r="G58" s="72"/>
      <c r="H58" s="69"/>
      <c r="I58" s="50">
        <v>17</v>
      </c>
      <c r="J58" s="83"/>
      <c r="K58" s="80"/>
      <c r="L58" s="15">
        <v>10</v>
      </c>
    </row>
    <row r="59" spans="3:12" ht="15" customHeight="1" x14ac:dyDescent="0.35">
      <c r="C59" s="63"/>
      <c r="D59" s="41" t="s">
        <v>43</v>
      </c>
      <c r="E59" s="14">
        <v>5.0999999999999996</v>
      </c>
      <c r="F59" s="67"/>
      <c r="G59" s="72"/>
      <c r="H59" s="69"/>
      <c r="I59" s="50"/>
      <c r="J59" s="84"/>
      <c r="K59" s="79" t="s">
        <v>44</v>
      </c>
      <c r="L59" s="15">
        <v>2.6</v>
      </c>
    </row>
    <row r="60" spans="3:12" ht="15" customHeight="1" thickBot="1" x14ac:dyDescent="0.4">
      <c r="C60" s="64"/>
      <c r="D60" s="44" t="s">
        <v>46</v>
      </c>
      <c r="E60" s="48">
        <v>1.9</v>
      </c>
      <c r="F60" s="73"/>
      <c r="G60" s="75"/>
      <c r="H60" s="70"/>
      <c r="I60" s="51"/>
      <c r="J60" s="85"/>
      <c r="K60" s="78"/>
      <c r="L60" s="31">
        <v>2.7</v>
      </c>
    </row>
    <row r="61" spans="3:12" ht="15" customHeight="1" x14ac:dyDescent="0.35">
      <c r="C61" s="62" t="s">
        <v>47</v>
      </c>
      <c r="D61" s="40" t="s">
        <v>48</v>
      </c>
      <c r="E61" s="47">
        <v>8.0299999999999994</v>
      </c>
      <c r="F61" s="66">
        <f>SUM(E61,E62,E63,E64,E65)</f>
        <v>40.15</v>
      </c>
      <c r="G61" s="71" t="s">
        <v>49</v>
      </c>
      <c r="H61" s="68">
        <f>SUM(F61,F61)</f>
        <v>80.3</v>
      </c>
      <c r="I61" s="25">
        <v>10.4</v>
      </c>
      <c r="J61" s="81"/>
      <c r="K61" s="76" t="s">
        <v>44</v>
      </c>
      <c r="L61" s="26">
        <v>9.1999999999999993</v>
      </c>
    </row>
    <row r="62" spans="3:12" ht="15" customHeight="1" x14ac:dyDescent="0.35">
      <c r="C62" s="63"/>
      <c r="D62" s="41" t="s">
        <v>51</v>
      </c>
      <c r="E62" s="14">
        <v>8.0299999999999994</v>
      </c>
      <c r="F62" s="67"/>
      <c r="G62" s="72"/>
      <c r="H62" s="69"/>
      <c r="I62" s="13">
        <v>10.4</v>
      </c>
      <c r="J62" s="82"/>
      <c r="K62" s="77"/>
      <c r="L62" s="15">
        <v>12.1</v>
      </c>
    </row>
    <row r="63" spans="3:12" ht="15" customHeight="1" x14ac:dyDescent="0.35">
      <c r="C63" s="63"/>
      <c r="D63" s="41" t="s">
        <v>52</v>
      </c>
      <c r="E63" s="14">
        <v>8.0299999999999994</v>
      </c>
      <c r="F63" s="67"/>
      <c r="G63" s="72"/>
      <c r="H63" s="69"/>
      <c r="I63" s="13">
        <v>10.4</v>
      </c>
      <c r="J63" s="82"/>
      <c r="K63" s="77"/>
      <c r="L63" s="15">
        <v>8.1999999999999993</v>
      </c>
    </row>
    <row r="64" spans="3:12" ht="15" customHeight="1" x14ac:dyDescent="0.35">
      <c r="C64" s="63"/>
      <c r="D64" s="41" t="s">
        <v>53</v>
      </c>
      <c r="E64" s="14">
        <v>8.0299999999999994</v>
      </c>
      <c r="F64" s="67"/>
      <c r="G64" s="72"/>
      <c r="H64" s="69"/>
      <c r="I64" s="13">
        <v>10.4</v>
      </c>
      <c r="J64" s="82"/>
      <c r="K64" s="77"/>
      <c r="L64" s="15">
        <v>7.2</v>
      </c>
    </row>
    <row r="65" spans="3:13" ht="15" customHeight="1" x14ac:dyDescent="0.35">
      <c r="C65" s="63"/>
      <c r="D65" s="41" t="s">
        <v>54</v>
      </c>
      <c r="E65" s="14">
        <v>8.0299999999999994</v>
      </c>
      <c r="F65" s="67"/>
      <c r="G65" s="72"/>
      <c r="H65" s="69"/>
      <c r="I65" s="13">
        <v>10.4</v>
      </c>
      <c r="J65" s="82"/>
      <c r="K65" s="77"/>
      <c r="L65" s="15">
        <v>9</v>
      </c>
    </row>
    <row r="66" spans="3:13" ht="15" customHeight="1" thickBot="1" x14ac:dyDescent="0.4">
      <c r="C66" s="64"/>
      <c r="D66" s="44" t="s">
        <v>55</v>
      </c>
      <c r="E66" s="48" t="s">
        <v>56</v>
      </c>
      <c r="F66" s="28" t="s">
        <v>56</v>
      </c>
      <c r="G66" s="32" t="s">
        <v>56</v>
      </c>
      <c r="H66" s="29" t="s">
        <v>56</v>
      </c>
      <c r="I66" s="30" t="s">
        <v>56</v>
      </c>
      <c r="J66" s="85"/>
      <c r="K66" s="78"/>
      <c r="L66" s="31">
        <v>11.3</v>
      </c>
    </row>
    <row r="67" spans="3:13" ht="15" customHeight="1" thickBot="1" x14ac:dyDescent="0.4">
      <c r="C67" s="39" t="s">
        <v>57</v>
      </c>
      <c r="D67" s="35" t="s">
        <v>58</v>
      </c>
      <c r="E67" s="19">
        <v>24.1</v>
      </c>
      <c r="F67" s="18">
        <v>24.1</v>
      </c>
      <c r="G67" s="33">
        <v>1</v>
      </c>
      <c r="H67" s="34">
        <v>48.2</v>
      </c>
      <c r="I67" s="22">
        <v>21</v>
      </c>
      <c r="J67" s="22"/>
      <c r="K67" s="24" t="s">
        <v>59</v>
      </c>
      <c r="L67" s="23">
        <v>22.2</v>
      </c>
    </row>
    <row r="68" spans="3:13" ht="15" customHeight="1" thickBot="1" x14ac:dyDescent="0.4"/>
    <row r="69" spans="3:13" ht="15" customHeight="1" thickBot="1" x14ac:dyDescent="0.4">
      <c r="K69" s="38" t="s">
        <v>10</v>
      </c>
      <c r="M69" s="38" t="s">
        <v>10</v>
      </c>
    </row>
    <row r="70" spans="3:13" ht="15" customHeight="1" x14ac:dyDescent="0.35">
      <c r="K70" s="17">
        <v>4.8419999999999996</v>
      </c>
      <c r="M70" s="17">
        <v>4.8419999999999996</v>
      </c>
    </row>
    <row r="71" spans="3:13" ht="15" customHeight="1" x14ac:dyDescent="0.35">
      <c r="K71" s="15">
        <v>0.67100000000000004</v>
      </c>
      <c r="M71" s="15">
        <v>0.67100000000000004</v>
      </c>
    </row>
    <row r="72" spans="3:13" ht="15" customHeight="1" x14ac:dyDescent="0.35">
      <c r="K72" s="55" t="s">
        <v>22</v>
      </c>
      <c r="M72" s="55" t="s">
        <v>22</v>
      </c>
    </row>
    <row r="73" spans="3:13" ht="15" customHeight="1" x14ac:dyDescent="0.35">
      <c r="K73" s="56"/>
      <c r="M73" s="56"/>
    </row>
    <row r="74" spans="3:13" ht="15" customHeight="1" thickBot="1" x14ac:dyDescent="0.4">
      <c r="K74" s="57"/>
      <c r="M74" s="57"/>
    </row>
    <row r="75" spans="3:13" ht="15" customHeight="1" thickBot="1" x14ac:dyDescent="0.4">
      <c r="K75" s="23">
        <v>1230.4000000000001</v>
      </c>
      <c r="M75" s="23">
        <v>1230.4000000000001</v>
      </c>
    </row>
    <row r="76" spans="3:13" ht="15" customHeight="1" x14ac:dyDescent="0.35">
      <c r="K76" s="26">
        <v>455</v>
      </c>
      <c r="M76" s="26">
        <v>455</v>
      </c>
    </row>
    <row r="77" spans="3:13" ht="15" customHeight="1" x14ac:dyDescent="0.35">
      <c r="K77" s="15">
        <v>79.2</v>
      </c>
      <c r="M77" s="15">
        <v>79.2</v>
      </c>
    </row>
    <row r="78" spans="3:13" ht="15" customHeight="1" x14ac:dyDescent="0.35">
      <c r="K78" s="15">
        <v>10</v>
      </c>
      <c r="M78" s="15">
        <v>10</v>
      </c>
    </row>
    <row r="79" spans="3:13" ht="15" customHeight="1" x14ac:dyDescent="0.35">
      <c r="K79" s="15">
        <v>2.6</v>
      </c>
      <c r="M79" s="15">
        <v>2.6</v>
      </c>
    </row>
    <row r="80" spans="3:13" ht="15" customHeight="1" thickBot="1" x14ac:dyDescent="0.4">
      <c r="K80" s="31">
        <v>2.7</v>
      </c>
      <c r="M80" s="31">
        <v>2.7</v>
      </c>
    </row>
    <row r="81" spans="11:13" ht="15" customHeight="1" x14ac:dyDescent="0.35">
      <c r="K81" s="26">
        <v>9.1999999999999993</v>
      </c>
      <c r="M81" s="26">
        <v>9.1999999999999993</v>
      </c>
    </row>
    <row r="82" spans="11:13" ht="15" customHeight="1" x14ac:dyDescent="0.35">
      <c r="K82" s="15">
        <v>12.1</v>
      </c>
      <c r="M82" s="15">
        <v>12.1</v>
      </c>
    </row>
    <row r="83" spans="11:13" ht="15" customHeight="1" x14ac:dyDescent="0.35">
      <c r="K83" s="15">
        <v>8.1999999999999993</v>
      </c>
      <c r="M83" s="15">
        <v>8.1999999999999993</v>
      </c>
    </row>
    <row r="84" spans="11:13" ht="15" customHeight="1" x14ac:dyDescent="0.35">
      <c r="K84" s="15">
        <v>7.2</v>
      </c>
      <c r="M84" s="15">
        <v>7.2</v>
      </c>
    </row>
    <row r="85" spans="11:13" ht="15" customHeight="1" x14ac:dyDescent="0.35">
      <c r="K85" s="15">
        <v>9</v>
      </c>
      <c r="M85" s="15">
        <v>9</v>
      </c>
    </row>
    <row r="86" spans="11:13" ht="15" customHeight="1" thickBot="1" x14ac:dyDescent="0.4">
      <c r="K86" s="31">
        <v>11.3</v>
      </c>
      <c r="M86" s="31">
        <v>11.3</v>
      </c>
    </row>
    <row r="87" spans="11:13" ht="15" customHeight="1" thickBot="1" x14ac:dyDescent="0.4">
      <c r="K87" s="23">
        <v>22.2</v>
      </c>
      <c r="M87" s="23">
        <v>22.2</v>
      </c>
    </row>
  </sheetData>
  <mergeCells count="51">
    <mergeCell ref="C3:L3"/>
    <mergeCell ref="M72:M74"/>
    <mergeCell ref="K72:K74"/>
    <mergeCell ref="K50:K53"/>
    <mergeCell ref="K57:K58"/>
    <mergeCell ref="K59:K60"/>
    <mergeCell ref="K61:K66"/>
    <mergeCell ref="I58:I60"/>
    <mergeCell ref="C61:C66"/>
    <mergeCell ref="F61:F65"/>
    <mergeCell ref="G61:G65"/>
    <mergeCell ref="H61:H65"/>
    <mergeCell ref="C56:C60"/>
    <mergeCell ref="F56:F60"/>
    <mergeCell ref="G56:G60"/>
    <mergeCell ref="H56:H60"/>
    <mergeCell ref="I56:I57"/>
    <mergeCell ref="C50:C54"/>
    <mergeCell ref="F50:F53"/>
    <mergeCell ref="G50:G53"/>
    <mergeCell ref="H50:H53"/>
    <mergeCell ref="F54:H54"/>
    <mergeCell ref="L52:L54"/>
    <mergeCell ref="F16:F20"/>
    <mergeCell ref="G11:G15"/>
    <mergeCell ref="G16:G20"/>
    <mergeCell ref="I16:I20"/>
    <mergeCell ref="C48:L48"/>
    <mergeCell ref="J11:J15"/>
    <mergeCell ref="J16:J20"/>
    <mergeCell ref="C41:L41"/>
    <mergeCell ref="C39:L39"/>
    <mergeCell ref="C5:C9"/>
    <mergeCell ref="F9:H9"/>
    <mergeCell ref="F5:F8"/>
    <mergeCell ref="H11:H15"/>
    <mergeCell ref="H16:H20"/>
    <mergeCell ref="G5:G8"/>
    <mergeCell ref="C11:C15"/>
    <mergeCell ref="C16:C20"/>
    <mergeCell ref="H5:H8"/>
    <mergeCell ref="F11:F15"/>
    <mergeCell ref="N11:N12"/>
    <mergeCell ref="N13:N15"/>
    <mergeCell ref="I5:I8"/>
    <mergeCell ref="I12:I13"/>
    <mergeCell ref="I14:I15"/>
    <mergeCell ref="L7:L9"/>
    <mergeCell ref="K11:K12"/>
    <mergeCell ref="K13:K15"/>
    <mergeCell ref="J5:J9"/>
  </mergeCells>
  <conditionalFormatting sqref="K69">
    <cfRule type="colorScale" priority="3">
      <colorScale>
        <cfvo type="min"/>
        <cfvo type="percentile" val="50"/>
        <cfvo type="max"/>
        <color rgb="FFF8696B"/>
        <color rgb="FFFFEB84"/>
        <color rgb="FF63BE7B"/>
      </colorScale>
    </cfRule>
  </conditionalFormatting>
  <conditionalFormatting sqref="L49">
    <cfRule type="colorScale" priority="2">
      <colorScale>
        <cfvo type="min"/>
        <cfvo type="percentile" val="50"/>
        <cfvo type="max"/>
        <color rgb="FFF8696B"/>
        <color rgb="FFFFEB84"/>
        <color rgb="FF63BE7B"/>
      </colorScale>
    </cfRule>
  </conditionalFormatting>
  <conditionalFormatting sqref="M69">
    <cfRule type="colorScale" priority="1">
      <colorScale>
        <cfvo type="min"/>
        <cfvo type="percentile" val="50"/>
        <cfvo type="max"/>
        <color rgb="FFF8696B"/>
        <color rgb="FFFFEB84"/>
        <color rgb="FF63BE7B"/>
      </colorScale>
    </cfRule>
  </conditionalFormatting>
  <conditionalFormatting sqref="P2:P4 C10 B5:B9 B2:H2 D10:D15 K2:L2 B3:C3 M5 L4:M4 B4:J4">
    <cfRule type="colorScale" priority="17">
      <colorScale>
        <cfvo type="min"/>
        <cfvo type="percentile" val="50"/>
        <cfvo type="max"/>
        <color rgb="FFF8696B"/>
        <color rgb="FFFFEB84"/>
        <color rgb="FF63BE7B"/>
      </colorScale>
    </cfRule>
  </conditionalFormatting>
  <conditionalFormatting sqref="D55:D60 C55 C49:H49 C48 K49">
    <cfRule type="colorScale" priority="18">
      <colorScale>
        <cfvo type="min"/>
        <cfvo type="percentile" val="50"/>
        <cfvo type="max"/>
        <color rgb="FFF8696B"/>
        <color rgb="FFFFEB84"/>
        <color rgb="FF63BE7B"/>
      </colorScale>
    </cfRule>
  </conditionalFormatting>
  <pageMargins left="0.25" right="0.25" top="0.75" bottom="0.75" header="0.3" footer="0.3"/>
  <pageSetup paperSize="6"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Guida</dc:creator>
  <cp:keywords/>
  <dc:description/>
  <cp:lastModifiedBy>Mario Guida</cp:lastModifiedBy>
  <cp:revision/>
  <dcterms:created xsi:type="dcterms:W3CDTF">2026-03-25T16:28:13Z</dcterms:created>
  <dcterms:modified xsi:type="dcterms:W3CDTF">2026-04-03T18:22:01Z</dcterms:modified>
  <cp:category/>
  <cp:contentStatus/>
</cp:coreProperties>
</file>